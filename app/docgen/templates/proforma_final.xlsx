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bookViews>
    <workbookView xWindow="-108" yWindow="-108" windowWidth="23256" windowHeight="12456" xr2:uid="{00000000-000D-0000-FFFF-FFFF00000000}"/>
  </bookViews>
  <sheets>
    <sheet name="OCEANWAY" sheetId="12" r:id="rId1"/>
    <sheet name="SERENOS" sheetId="25" r:id="rId2"/>
    <sheet name="TALLY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<sst xmlns="http://schemas.openxmlformats.org/spreadsheetml/2006/main" count="70" uniqueCount="54">
  <si>
    <t>TRN</t>
  </si>
  <si>
    <t>DIAS</t>
  </si>
  <si>
    <t>LAW NR 25413</t>
  </si>
  <si>
    <t>TOTAL</t>
  </si>
  <si>
    <t>-</t>
  </si>
  <si>
    <t>SALIDA</t>
  </si>
  <si>
    <t>PORT DUES</t>
  </si>
  <si>
    <t>CHANNEL TOLL</t>
  </si>
  <si>
    <t>TURNO</t>
  </si>
  <si>
    <t>00-06</t>
  </si>
  <si>
    <t>.06-12</t>
  </si>
  <si>
    <t>.12-18</t>
  </si>
  <si>
    <t>18-24</t>
  </si>
  <si>
    <t>SUBT</t>
  </si>
  <si>
    <t>CONV.</t>
  </si>
  <si>
    <t>MARITIME CENTER EXPENSES</t>
  </si>
  <si>
    <t>FEE USD 1000</t>
  </si>
  <si>
    <t>WAGES AT</t>
  </si>
  <si>
    <t>HEAD TALLY CLERK</t>
  </si>
  <si>
    <t>CAMBIO VENTA</t>
  </si>
  <si>
    <t>CAMBIO COMPRA</t>
  </si>
  <si>
    <t>COMPULSORY SENASA INSPECTION EXPENSES</t>
  </si>
  <si>
    <t>WATCHMEN SERVICES</t>
  </si>
  <si>
    <t xml:space="preserve">ESLORA: </t>
  </si>
  <si>
    <t>FOR YOUR ACCOUNT</t>
  </si>
  <si>
    <t>TAXI HIRED FOR SANITARY ARRANGEMENTS</t>
  </si>
  <si>
    <t>FREE PRATIQUE DUES</t>
  </si>
  <si>
    <t>TUGBOATS IN/OUT</t>
  </si>
  <si>
    <t>PILOT SERVICE IN/OUT</t>
  </si>
  <si>
    <t>MOORING/UNMOORING</t>
  </si>
  <si>
    <t>LDS</t>
  </si>
  <si>
    <t>MV PORT ALBERNI</t>
  </si>
  <si>
    <t>CARGA: CEBADA/ MALTA SHIPPER: QUILMES</t>
  </si>
  <si>
    <t>IMMIGRATION TAX EXPENSES IN/OUT</t>
  </si>
  <si>
    <t>TAXIS HIRED FOR IMMIGRATION FORMALITIES IN/OUT</t>
  </si>
  <si>
    <t>ENTRADA  TBB9</t>
  </si>
  <si>
    <t>FRI 25/09/2026 14:12 HR</t>
  </si>
  <si>
    <t>SAT 26/09/2026 13:50 HR</t>
  </si>
  <si>
    <t>: PORT ALBERDI</t>
  </si>
  <si>
    <t>SEA WHITE</t>
  </si>
  <si>
    <t>9 TBB</t>
  </si>
  <si>
    <t>12 A 18: GATTAFONI EDGARDO</t>
  </si>
  <si>
    <t>18 A 24: GATTAFONI JONATAN</t>
  </si>
  <si>
    <t>00 A 06: CURRULEF CRISTIAN</t>
  </si>
  <si>
    <t>06 A 12: CURRULEF HECTOR</t>
  </si>
  <si>
    <t>GATTAFONI EDGARDO</t>
  </si>
  <si>
    <t>GATTAFONI JONATAN</t>
  </si>
  <si>
    <t>CURRULEF CRISTIAN</t>
  </si>
  <si>
    <t>CURRULEF HECTOR</t>
  </si>
  <si>
    <t>1300-1900</t>
  </si>
  <si>
    <t>1900-0100</t>
  </si>
  <si>
    <t>0100-0700</t>
  </si>
  <si>
    <t>h</t>
  </si>
  <si>
    <t>CUSTOM HOUSE OVERTIME FOR 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</si>
</sst>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[$$-2C0A]\ #,##0.00"/>
    <numFmt numFmtId="167" formatCode="#,##0.00\ [$USD]"/>
    <numFmt numFmtId="168" formatCode="0.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sz val="10"/>
      <name val="Bookman Old Style"/>
      <family val="1"/>
    </font>
    <font>
      <u/>
      <sz val="12"/>
      <name val="Bookman Old Style"/>
      <family val="1"/>
    </font>
    <font>
      <sz val="9"/>
      <name val="Bookman Old Style"/>
      <family val="1"/>
    </font>
    <font>
      <u/>
      <sz val="10"/>
      <name val="Bookman Old Style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FF0000"/>
      <name val="Bookman Old Style"/>
      <family val="1"/>
    </font>
    <font>
      <b/>
      <sz val="11"/>
      <name val="Bookman Old Style"/>
      <family val="1"/>
    </font>
    <font>
      <b/>
      <u/>
      <sz val="16"/>
      <name val="Bookman Old Style"/>
      <family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0"/>
      <color indexed="10"/>
      <name val="Arial"/>
      <family val="2"/>
    </font>
    <font>
      <sz val="10"/>
      <color theme="4"/>
      <name val="Arial"/>
      <family val="2"/>
    </font>
    <font>
      <b/>
      <sz val="10"/>
      <color theme="4"/>
      <name val="Arial"/>
      <family val="2"/>
    </font>
    <font>
      <sz val="10"/>
      <color theme="4"/>
      <name val="Bookman Old Style"/>
      <family val="1"/>
    </font>
    <font>
      <b/>
      <i/>
      <u/>
      <sz val="10"/>
      <name val="Bookman Old Style"/>
      <family val="1"/>
    </font>
    <font>
      <sz val="9"/>
      <name val="Arial"/>
      <family val="2"/>
    </font>
    <font>
      <b/>
      <u/>
      <sz val="10"/>
      <name val="Arial"/>
      <family val="2"/>
    </font>
    <font>
      <b/>
      <u/>
      <sz val="11"/>
      <name val="Calibr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165" fontId="2" fillId="0" borderId="0" applyFont="0" applyFill="0" applyBorder="0" applyAlignment="0" applyProtection="0"/>
    <xf numFmtId="0" fontId="2" fillId="0" borderId="0"/>
  </cellStyleXfs>
  <cellXfs count="136">
    <xf numFmtId="0" fontId="0" fillId="0" borderId="0" xfId="0"/>
    <xf numFmtId="166" fontId="5" fillId="2" borderId="0" xfId="0" applyNumberFormat="1" applyFont="1" applyFill="1"/>
    <xf numFmtId="167" fontId="5" fillId="0" borderId="0" xfId="1" applyNumberFormat="1" applyFont="1" applyFill="1"/>
    <xf numFmtId="167" fontId="0" fillId="0" borderId="0" xfId="0" applyNumberFormat="1"/>
    <xf numFmtId="0" fontId="2" fillId="0" borderId="0" xfId="3"/>
    <xf numFmtId="9" fontId="16" fillId="0" borderId="0" xfId="2" applyFont="1" applyFill="1" applyBorder="1" applyAlignment="1">
      <alignment vertical="center"/>
    </xf>
    <xf numFmtId="165" fontId="2" fillId="0" borderId="0" xfId="3" applyNumberFormat="1"/>
    <xf numFmtId="165" fontId="2" fillId="0" borderId="0" xfId="1" applyFont="1"/>
    <xf numFmtId="165" fontId="0" fillId="0" borderId="0" xfId="1" applyFont="1"/>
    <xf numFmtId="9" fontId="19" fillId="0" borderId="0" xfId="2" applyFont="1"/>
    <xf numFmtId="0" fontId="16" fillId="0" borderId="0" xfId="0" applyFont="1" applyAlignment="1">
      <alignment vertical="center"/>
    </xf>
    <xf numFmtId="165" fontId="0" fillId="0" borderId="11" xfId="1" applyFont="1" applyBorder="1"/>
    <xf numFmtId="165" fontId="2" fillId="0" borderId="11" xfId="3" applyNumberFormat="1" applyBorder="1"/>
    <xf numFmtId="0" fontId="18" fillId="0" borderId="0" xfId="0" applyFont="1"/>
    <xf numFmtId="0" fontId="5" fillId="2" borderId="0" xfId="0" applyFont="1" applyFill="1"/>
    <xf numFmtId="167" fontId="5" fillId="2" borderId="0" xfId="1" applyNumberFormat="1" applyFont="1" applyFill="1"/>
    <xf numFmtId="16" fontId="10" fillId="0" borderId="9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2" fillId="0" borderId="0" xfId="6"/>
    <xf numFmtId="165" fontId="2" fillId="0" borderId="0" xfId="5" applyFont="1"/>
    <xf numFmtId="165" fontId="0" fillId="0" borderId="0" xfId="5" applyFont="1"/>
    <xf numFmtId="16" fontId="2" fillId="0" borderId="0" xfId="6" applyNumberFormat="1"/>
    <xf numFmtId="9" fontId="16" fillId="0" borderId="0" xfId="2" applyFont="1" applyFill="1" applyBorder="1" applyAlignment="1">
      <alignment horizontal="center" vertical="center"/>
    </xf>
    <xf numFmtId="165" fontId="0" fillId="0" borderId="0" xfId="5" applyFont="1" applyFill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/>
    <xf numFmtId="0" fontId="2" fillId="0" borderId="0" xfId="0" applyFont="1" applyAlignment="1">
      <alignment horizontal="center"/>
    </xf>
    <xf numFmtId="16" fontId="2" fillId="0" borderId="0" xfId="0" applyNumberFormat="1" applyFont="1"/>
    <xf numFmtId="0" fontId="14" fillId="2" borderId="0" xfId="0" applyFont="1" applyFill="1"/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22" fontId="9" fillId="2" borderId="8" xfId="0" applyNumberFormat="1" applyFont="1" applyFill="1" applyBorder="1"/>
    <xf numFmtId="4" fontId="10" fillId="2" borderId="8" xfId="0" applyNumberFormat="1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2" fillId="2" borderId="6" xfId="0" applyFont="1" applyFill="1" applyBorder="1"/>
    <xf numFmtId="2" fontId="10" fillId="2" borderId="0" xfId="0" applyNumberFormat="1" applyFont="1" applyFill="1"/>
    <xf numFmtId="22" fontId="9" fillId="2" borderId="0" xfId="0" applyNumberFormat="1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11" fillId="2" borderId="0" xfId="0" applyFont="1" applyFill="1" applyAlignment="1">
      <alignment horizontal="center"/>
    </xf>
    <xf numFmtId="14" fontId="20" fillId="2" borderId="0" xfId="0" applyNumberFormat="1" applyFont="1" applyFill="1"/>
    <xf numFmtId="0" fontId="20" fillId="2" borderId="0" xfId="0" applyFont="1" applyFill="1"/>
    <xf numFmtId="0" fontId="7" fillId="2" borderId="0" xfId="0" applyFont="1" applyFill="1" applyAlignment="1">
      <alignment horizontal="center"/>
    </xf>
    <xf numFmtId="2" fontId="0" fillId="2" borderId="0" xfId="0" applyNumberFormat="1" applyFill="1"/>
    <xf numFmtId="0" fontId="21" fillId="2" borderId="0" xfId="0" applyFont="1" applyFill="1"/>
    <xf numFmtId="22" fontId="0" fillId="2" borderId="0" xfId="0" applyNumberFormat="1" applyFill="1" applyAlignment="1">
      <alignment horizontal="right"/>
    </xf>
    <xf numFmtId="0" fontId="6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5" fillId="2" borderId="0" xfId="0" applyFont="1" applyFill="1"/>
    <xf numFmtId="0" fontId="8" fillId="2" borderId="0" xfId="0" applyFont="1" applyFill="1" applyAlignment="1">
      <alignment horizontal="center"/>
    </xf>
    <xf numFmtId="166" fontId="0" fillId="2" borderId="0" xfId="0" applyNumberFormat="1" applyFill="1"/>
    <xf numFmtId="0" fontId="5" fillId="2" borderId="0" xfId="0" applyFont="1" applyFill="1" applyAlignment="1">
      <alignment horizontal="left"/>
    </xf>
    <xf numFmtId="167" fontId="5" fillId="2" borderId="0" xfId="0" applyNumberFormat="1" applyFont="1" applyFill="1"/>
    <xf numFmtId="0" fontId="12" fillId="2" borderId="0" xfId="0" applyFont="1" applyFill="1"/>
    <xf numFmtId="166" fontId="12" fillId="2" borderId="0" xfId="0" applyNumberFormat="1" applyFont="1" applyFill="1"/>
    <xf numFmtId="167" fontId="12" fillId="2" borderId="0" xfId="1" applyNumberFormat="1" applyFont="1" applyFill="1"/>
    <xf numFmtId="0" fontId="23" fillId="2" borderId="0" xfId="0" applyFont="1" applyFill="1"/>
    <xf numFmtId="0" fontId="10" fillId="2" borderId="8" xfId="0" applyFont="1" applyFill="1" applyBorder="1"/>
    <xf numFmtId="0" fontId="25" fillId="0" borderId="0" xfId="0" applyFont="1"/>
    <xf numFmtId="0" fontId="25" fillId="0" borderId="0" xfId="3" applyFont="1"/>
    <xf numFmtId="0" fontId="25" fillId="0" borderId="0" xfId="6" applyFont="1"/>
    <xf numFmtId="16" fontId="26" fillId="0" borderId="0" xfId="0" applyNumberFormat="1" applyFont="1" applyAlignment="1">
      <alignment vertical="center"/>
    </xf>
    <xf numFmtId="0" fontId="15" fillId="2" borderId="0" xfId="0" applyFont="1" applyFill="1" applyAlignment="1">
      <alignment horizontal="center"/>
    </xf>
    <xf numFmtId="0" fontId="0" fillId="2" borderId="8" xfId="0" applyFill="1" applyBorder="1"/>
    <xf numFmtId="0" fontId="27" fillId="0" borderId="0" xfId="0" applyFont="1"/>
    <xf numFmtId="16" fontId="27" fillId="0" borderId="0" xfId="6" applyNumberFormat="1" applyFont="1"/>
    <xf numFmtId="0" fontId="2" fillId="0" borderId="0" xfId="0" applyFont="1"/>
    <xf numFmtId="22" fontId="9" fillId="2" borderId="3" xfId="0" applyNumberFormat="1" applyFont="1" applyFill="1" applyBorder="1"/>
    <xf numFmtId="0" fontId="15" fillId="2" borderId="8" xfId="0" applyFont="1" applyFill="1" applyBorder="1" applyAlignment="1">
      <alignment horizontal="center"/>
    </xf>
    <xf numFmtId="4" fontId="0" fillId="2" borderId="9" xfId="0" applyNumberFormat="1" applyFill="1" applyBorder="1" applyAlignment="1">
      <alignment horizontal="center"/>
    </xf>
    <xf numFmtId="16" fontId="2" fillId="0" borderId="0" xfId="3" applyNumberFormat="1"/>
    <xf numFmtId="164" fontId="0" fillId="0" borderId="0" xfId="0" applyNumberFormat="1"/>
    <xf numFmtId="0" fontId="9" fillId="2" borderId="0" xfId="0" applyFont="1" applyFill="1"/>
    <xf numFmtId="0" fontId="2" fillId="0" borderId="0" xfId="0" applyFont="1" applyAlignment="1">
      <alignment horizontal="right"/>
    </xf>
    <xf numFmtId="9" fontId="0" fillId="0" borderId="0" xfId="0" applyNumberFormat="1" applyAlignment="1">
      <alignment horizontal="right"/>
    </xf>
    <xf numFmtId="0" fontId="2" fillId="2" borderId="3" xfId="0" applyFont="1" applyFill="1" applyBorder="1"/>
    <xf numFmtId="0" fontId="10" fillId="2" borderId="3" xfId="0" applyFont="1" applyFill="1" applyBorder="1" applyAlignment="1">
      <alignment horizontal="center"/>
    </xf>
    <xf numFmtId="167" fontId="22" fillId="2" borderId="0" xfId="1" applyNumberFormat="1" applyFont="1" applyFill="1"/>
    <xf numFmtId="16" fontId="21" fillId="2" borderId="0" xfId="0" applyNumberFormat="1" applyFont="1" applyFill="1"/>
    <xf numFmtId="16" fontId="21" fillId="2" borderId="0" xfId="0" applyNumberFormat="1" applyFont="1" applyFill="1" applyAlignment="1">
      <alignment horizontal="right"/>
    </xf>
    <xf numFmtId="166" fontId="2" fillId="2" borderId="0" xfId="0" applyNumberFormat="1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Font="1" applyFill="1" applyBorder="1"/>
    <xf numFmtId="16" fontId="0" fillId="0" borderId="0" xfId="0" applyNumberFormat="1"/>
    <xf numFmtId="14" fontId="17" fillId="0" borderId="6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4" fillId="0" borderId="0" xfId="3" applyFont="1" applyAlignment="1">
      <alignment horizontal="center"/>
    </xf>
    <xf numFmtId="0" fontId="24" fillId="0" borderId="0" xfId="0" applyFont="1"/>
    <xf numFmtId="165" fontId="2" fillId="0" borderId="0" xfId="5" applyFont="1" applyFill="1"/>
    <xf numFmtId="2" fontId="4" fillId="0" borderId="2" xfId="0" applyNumberFormat="1" applyFont="1" applyBorder="1"/>
    <xf numFmtId="168" fontId="10" fillId="0" borderId="5" xfId="0" applyNumberFormat="1" applyFont="1" applyBorder="1"/>
    <xf numFmtId="2" fontId="10" fillId="0" borderId="7" xfId="0" applyNumberFormat="1" applyFont="1" applyBorder="1"/>
    <xf numFmtId="14" fontId="0" fillId="0" borderId="0" xfId="0" applyNumberFormat="1"/>
    <xf numFmtId="0" fontId="4" fillId="0" borderId="0" xfId="0" applyFont="1" applyAlignment="1">
      <alignment horizontal="center"/>
    </xf>
    <xf numFmtId="165" fontId="10" fillId="0" borderId="3" xfId="5" applyFont="1" applyFill="1" applyBorder="1" applyAlignment="1">
      <alignment horizontal="center" vertical="center" wrapText="1"/>
    </xf>
    <xf numFmtId="165" fontId="10" fillId="0" borderId="10" xfId="5" applyFont="1" applyFill="1" applyBorder="1" applyAlignment="1">
      <alignment horizontal="center" vertical="center" wrapText="1"/>
    </xf>
    <xf numFmtId="165" fontId="10" fillId="0" borderId="8" xfId="5" applyFont="1" applyFill="1" applyBorder="1" applyAlignment="1">
      <alignment horizontal="center" vertical="center" wrapText="1"/>
    </xf>
    <xf numFmtId="165" fontId="9" fillId="0" borderId="3" xfId="5" applyFont="1" applyFill="1" applyBorder="1" applyAlignment="1">
      <alignment horizontal="center" vertical="center"/>
    </xf>
    <xf numFmtId="165" fontId="9" fillId="0" borderId="10" xfId="5" applyFont="1" applyFill="1" applyBorder="1" applyAlignment="1">
      <alignment horizontal="center" vertical="center"/>
    </xf>
    <xf numFmtId="165" fontId="9" fillId="0" borderId="8" xfId="5" applyFont="1" applyFill="1" applyBorder="1" applyAlignment="1">
      <alignment horizontal="center" vertical="center"/>
    </xf>
    <xf numFmtId="165" fontId="0" fillId="0" borderId="3" xfId="5" applyFont="1" applyFill="1" applyBorder="1" applyAlignment="1">
      <alignment horizontal="center" vertical="center"/>
    </xf>
    <xf numFmtId="165" fontId="0" fillId="0" borderId="10" xfId="5" applyFont="1" applyFill="1" applyBorder="1" applyAlignment="1">
      <alignment horizontal="center" vertical="center"/>
    </xf>
    <xf numFmtId="165" fontId="0" fillId="0" borderId="8" xfId="5" applyFont="1" applyFill="1" applyBorder="1" applyAlignment="1">
      <alignment horizontal="center" vertical="center"/>
    </xf>
    <xf numFmtId="165" fontId="9" fillId="3" borderId="3" xfId="5" applyFont="1" applyFill="1" applyBorder="1" applyAlignment="1">
      <alignment horizontal="center" vertical="center"/>
    </xf>
    <xf numFmtId="165" fontId="9" fillId="3" borderId="10" xfId="5" applyFont="1" applyFill="1" applyBorder="1" applyAlignment="1">
      <alignment horizontal="center" vertical="center"/>
    </xf>
    <xf numFmtId="165" fontId="9" fillId="3" borderId="8" xfId="5" applyFont="1" applyFill="1" applyBorder="1" applyAlignment="1">
      <alignment horizontal="center" vertical="center"/>
    </xf>
    <xf numFmtId="9" fontId="16" fillId="0" borderId="3" xfId="2" applyFont="1" applyFill="1" applyBorder="1" applyAlignment="1">
      <alignment horizontal="center" vertical="center"/>
    </xf>
    <xf numFmtId="9" fontId="16" fillId="0" borderId="10" xfId="2" applyFont="1" applyFill="1" applyBorder="1" applyAlignment="1">
      <alignment horizontal="center" vertical="center"/>
    </xf>
    <xf numFmtId="9" fontId="16" fillId="0" borderId="8" xfId="2" applyFont="1" applyFill="1" applyBorder="1" applyAlignment="1">
      <alignment horizontal="center" vertical="center"/>
    </xf>
    <xf numFmtId="165" fontId="14" fillId="3" borderId="3" xfId="5" applyFont="1" applyFill="1" applyBorder="1" applyAlignment="1">
      <alignment horizontal="center" vertical="center"/>
    </xf>
    <xf numFmtId="165" fontId="14" fillId="3" borderId="10" xfId="5" applyFont="1" applyFill="1" applyBorder="1" applyAlignment="1">
      <alignment horizontal="center" vertical="center"/>
    </xf>
    <xf numFmtId="165" fontId="14" fillId="3" borderId="8" xfId="5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22" fontId="14" fillId="2" borderId="10" xfId="0" applyNumberFormat="1" applyFont="1" applyFill="1" applyBorder="1"/>
    <xf numFmtId="0" fontId="16" fillId="0" borderId="1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6" fontId="16" fillId="0" borderId="1" xfId="0" applyNumberFormat="1" applyFont="1" applyFill="1" applyBorder="1" applyAlignment="1">
      <alignment horizontal="center" vertical="center"/>
    </xf>
    <xf numFmtId="165" fontId="14" fillId="0" borderId="3" xfId="5" applyFont="1" applyFill="1" applyBorder="1" applyAlignment="1">
      <alignment horizontal="center" vertical="center"/>
    </xf>
    <xf numFmtId="165" fontId="14" fillId="0" borderId="10" xfId="5" applyFont="1" applyFill="1" applyBorder="1" applyAlignment="1">
      <alignment horizontal="center" vertical="center"/>
    </xf>
    <xf numFmtId="165" fontId="14" fillId="0" borderId="8" xfId="5" applyFont="1" applyFill="1" applyBorder="1" applyAlignment="1">
      <alignment horizontal="center" vertical="center"/>
    </xf>
    <xf numFmtId="17" fontId="16" fillId="4" borderId="1" xfId="0" applyNumberFormat="1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65" fontId="14" fillId="4" borderId="3" xfId="5" applyFont="1" applyFill="1" applyBorder="1" applyAlignment="1">
      <alignment horizontal="center" vertical="center"/>
    </xf>
    <xf numFmtId="165" fontId="14" fillId="4" borderId="10" xfId="5" applyFont="1" applyFill="1" applyBorder="1" applyAlignment="1">
      <alignment horizontal="center" vertical="center"/>
    </xf>
    <xf numFmtId="165" fontId="14" fillId="4" borderId="8" xfId="5" applyFont="1" applyFill="1" applyBorder="1" applyAlignment="1">
      <alignment horizontal="center" vertical="center"/>
    </xf>
    <xf numFmtId="16" fontId="15" fillId="0" borderId="9" xfId="0" applyNumberFormat="1" applyFont="1" applyBorder="1" applyAlignment="1">
      <alignment horizontal="center"/>
    </xf>
    <xf numFmtId="16" fontId="14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/>
    </xf>
  </cellXfs>
  <cellStyles count="7">
    <cellStyle name="Moneda" xfId="1" builtinId="4"/>
    <cellStyle name="Moneda 2" xfId="5" xr:uid="{7EE44398-1F3B-452B-A70E-CCCEA04E5C3C}"/>
    <cellStyle name="Normal" xfId="0" builtinId="0"/>
    <cellStyle name="Normal 2" xfId="3" xr:uid="{00000000-0005-0000-0000-000002000000}"/>
    <cellStyle name="Normal 2 2" xfId="6" xr:uid="{BCFEF1B5-5F9C-4AC6-A5DF-5A88F97E991C}"/>
    <cellStyle name="Normal 3" xfId="4" xr:uid="{00000000-0005-0000-0000-000003000000}"/>
    <cellStyle name="Porcentaje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6</xdr:row>
      <xdr:rowOff>114300</xdr:rowOff>
    </xdr:from>
    <xdr:to>
      <xdr:col>4</xdr:col>
      <xdr:colOff>1249680</xdr:colOff>
      <xdr:row>12</xdr:row>
      <xdr:rowOff>51917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" y="1158240"/>
          <a:ext cx="7338060" cy="11263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30480</xdr:rowOff>
    </xdr:from>
    <xdr:to>
      <xdr:col>4</xdr:col>
      <xdr:colOff>998220</xdr:colOff>
      <xdr:row>50</xdr:row>
      <xdr:rowOff>4273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89720"/>
          <a:ext cx="7223760" cy="979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K59"/>
  <sheetViews>
    <sheetView tabSelected="1" topLeftCell="A3" workbookViewId="0">
      <selection activeCell="J39" sqref="J39"/>
    </sheetView>
  </sheetViews>
  <sheetFormatPr baseColWidth="10" defaultRowHeight="13.2" x14ac:dyDescent="0.25"/>
  <cols>
    <col min="1" max="1" width="5" customWidth="1"/>
    <col min="2" max="2" width="2.33203125" customWidth="1"/>
    <col min="3" max="3" width="59.6640625" customWidth="1"/>
    <col min="4" max="4" width="23.77734375" customWidth="1"/>
    <col min="5" max="5" width="19.5546875" customWidth="1"/>
    <col min="6" max="6" width="22.44140625" bestFit="1" customWidth="1"/>
    <col min="7" max="7" width="14.21875" bestFit="1" customWidth="1"/>
    <col min="8" max="8" width="15.5546875" customWidth="1"/>
    <col min="9" max="9" width="20.6640625" customWidth="1"/>
    <col min="10" max="10" width="13.6640625" bestFit="1" customWidth="1"/>
    <col min="11" max="11" width="13.5546875" bestFit="1" customWidth="1"/>
    <col min="13" max="13" width="13.88671875" customWidth="1"/>
  </cols>
  <sheetData>
    <row r="1" spans="1:11" ht="13.8" thickBot="1" x14ac:dyDescent="0.3">
      <c r="A1" s="24"/>
      <c r="B1" s="24"/>
      <c r="C1" s="24"/>
      <c r="E1" s="24"/>
      <c r="F1" s="28"/>
      <c r="G1" s="24"/>
      <c r="H1" s="24"/>
      <c r="I1" s="24"/>
      <c r="J1" s="24"/>
    </row>
    <row r="2" spans="1:11" x14ac:dyDescent="0.25">
      <c r="A2" s="24"/>
      <c r="B2" s="24"/>
      <c r="C2" s="29" t="s">
        <v>0</v>
      </c>
      <c r="D2" s="92">
        <v>11677</v>
      </c>
      <c r="E2" s="77" t="s">
        <v>35</v>
      </c>
      <c r="F2" s="69" t="s">
        <v>36</v>
      </c>
      <c r="G2" s="30" t="s">
        <v>1</v>
      </c>
      <c r="H2" s="31" t="s">
        <v>19</v>
      </c>
      <c r="I2" s="31" t="s">
        <v>20</v>
      </c>
      <c r="J2" s="24"/>
    </row>
    <row r="3" spans="1:11" ht="13.8" thickBot="1" x14ac:dyDescent="0.3">
      <c r="A3" s="24"/>
      <c r="B3" s="24"/>
      <c r="C3" s="32" t="s">
        <v>32</v>
      </c>
      <c r="D3" s="93">
        <v>10027.9</v>
      </c>
      <c r="E3" s="65" t="s">
        <v>5</v>
      </c>
      <c r="F3" s="118" t="s">
        <v>37</v>
      </c>
      <c r="G3" s="34">
        <f>0.67+0.67</f>
        <v>1.34</v>
      </c>
      <c r="H3" s="35">
        <v>1525.5</v>
      </c>
      <c r="I3" s="59">
        <v>1516.5</v>
      </c>
      <c r="J3" s="74"/>
    </row>
    <row r="4" spans="1:11" ht="13.8" thickBot="1" x14ac:dyDescent="0.3">
      <c r="A4" s="24"/>
      <c r="B4" s="24"/>
      <c r="C4" s="36" t="s">
        <v>23</v>
      </c>
      <c r="D4" s="94"/>
      <c r="E4" s="25"/>
      <c r="F4" s="69"/>
      <c r="G4" s="78"/>
      <c r="H4" s="64"/>
      <c r="I4" s="50"/>
      <c r="J4" s="24"/>
    </row>
    <row r="5" spans="1:11" ht="13.8" thickBot="1" x14ac:dyDescent="0.3">
      <c r="A5" s="24"/>
      <c r="B5" s="24"/>
      <c r="C5" s="25"/>
      <c r="D5" s="37"/>
      <c r="E5" s="24"/>
      <c r="F5" s="33"/>
      <c r="G5" s="70"/>
      <c r="H5" s="64"/>
      <c r="I5" s="50"/>
      <c r="J5" s="24"/>
    </row>
    <row r="6" spans="1:11" ht="13.8" thickBot="1" x14ac:dyDescent="0.3">
      <c r="A6" s="24"/>
      <c r="B6" s="24"/>
      <c r="C6" s="25"/>
      <c r="D6" s="37"/>
      <c r="E6" s="24"/>
      <c r="F6" s="38"/>
      <c r="G6" s="71"/>
      <c r="H6" s="24"/>
      <c r="I6" s="43"/>
      <c r="J6" s="24"/>
    </row>
    <row r="7" spans="1:11" ht="15.6" x14ac:dyDescent="0.3">
      <c r="A7" s="39"/>
      <c r="B7" s="39"/>
      <c r="C7" s="40"/>
      <c r="D7" s="41"/>
      <c r="E7" s="24"/>
      <c r="F7" s="42"/>
      <c r="G7" s="43"/>
      <c r="H7" s="24"/>
      <c r="I7" s="43"/>
      <c r="J7" s="24"/>
    </row>
    <row r="8" spans="1:11" ht="15.6" x14ac:dyDescent="0.3">
      <c r="A8" s="39"/>
      <c r="B8" s="39"/>
      <c r="C8" s="40"/>
      <c r="D8" s="44"/>
      <c r="E8" s="45"/>
      <c r="F8" s="42"/>
      <c r="G8" s="43"/>
      <c r="H8" s="24"/>
      <c r="I8" s="43"/>
      <c r="J8" s="24"/>
    </row>
    <row r="9" spans="1:11" ht="15.6" x14ac:dyDescent="0.3">
      <c r="A9" s="39"/>
      <c r="B9" s="39"/>
      <c r="C9" s="40"/>
      <c r="D9" s="44"/>
      <c r="E9" s="25"/>
      <c r="F9" s="42"/>
      <c r="G9" s="46"/>
      <c r="H9" s="46"/>
      <c r="I9" s="79"/>
      <c r="J9" s="24"/>
    </row>
    <row r="10" spans="1:11" ht="15.6" x14ac:dyDescent="0.3">
      <c r="A10" s="39"/>
      <c r="B10" s="39"/>
      <c r="C10" s="40"/>
      <c r="D10" s="44"/>
      <c r="E10" s="25"/>
      <c r="F10" s="47"/>
      <c r="G10" s="81"/>
      <c r="H10" s="42"/>
      <c r="I10" s="42"/>
      <c r="J10" s="24"/>
      <c r="K10" s="2"/>
    </row>
    <row r="11" spans="1:11" ht="15.6" x14ac:dyDescent="0.3">
      <c r="A11" s="40"/>
      <c r="B11" s="40"/>
      <c r="C11" s="48"/>
      <c r="D11" s="40"/>
      <c r="E11" s="25"/>
      <c r="F11" s="42"/>
      <c r="G11" s="80"/>
      <c r="H11" s="42"/>
      <c r="I11" s="42"/>
      <c r="J11" s="42"/>
    </row>
    <row r="12" spans="1:11" ht="15.6" x14ac:dyDescent="0.3">
      <c r="A12" s="40"/>
      <c r="B12" s="40"/>
      <c r="C12" s="48"/>
      <c r="D12" s="40"/>
      <c r="E12" s="25"/>
      <c r="F12" s="25"/>
      <c r="G12" s="80"/>
      <c r="H12" s="42"/>
      <c r="I12" s="42"/>
      <c r="J12" s="24"/>
    </row>
    <row r="13" spans="1:11" ht="21.75" customHeight="1" x14ac:dyDescent="0.3">
      <c r="A13" s="40"/>
      <c r="B13" s="40"/>
      <c r="C13" s="49" t="s">
        <v>31</v>
      </c>
      <c r="D13" s="40"/>
      <c r="E13" s="25"/>
      <c r="F13" s="50"/>
      <c r="G13" s="80"/>
      <c r="H13" s="42"/>
      <c r="I13" s="42"/>
      <c r="J13" s="24"/>
    </row>
    <row r="14" spans="1:11" ht="15.6" x14ac:dyDescent="0.3">
      <c r="A14" s="40"/>
      <c r="B14" s="40"/>
      <c r="C14" s="51"/>
      <c r="D14" s="40"/>
      <c r="E14" s="25"/>
      <c r="F14" s="24"/>
      <c r="G14" s="24"/>
      <c r="H14" s="24"/>
      <c r="I14" s="24"/>
      <c r="J14" s="24"/>
      <c r="K14" s="3"/>
    </row>
    <row r="15" spans="1:11" ht="15.6" x14ac:dyDescent="0.3">
      <c r="A15" s="40"/>
      <c r="B15" s="40"/>
      <c r="C15" s="51"/>
      <c r="D15" s="40"/>
      <c r="E15" s="25"/>
      <c r="F15" s="24"/>
      <c r="G15" s="24"/>
      <c r="H15" s="24"/>
      <c r="I15" s="24"/>
      <c r="J15" s="24"/>
    </row>
    <row r="16" spans="1:11" ht="15.6" x14ac:dyDescent="0.3">
      <c r="A16" s="14">
        <v>1</v>
      </c>
      <c r="B16" s="40" t="s">
        <v>4</v>
      </c>
      <c r="C16" s="14" t="s">
        <v>6</v>
      </c>
      <c r="D16" s="1">
        <f>E16*H3</f>
        <v>10980095.621400001</v>
      </c>
      <c r="E16" s="15">
        <f>(0.46*D2*G3)</f>
        <v>7197.7028000000009</v>
      </c>
      <c r="F16" s="52"/>
      <c r="G16" s="52"/>
      <c r="H16" s="52"/>
      <c r="I16" s="24"/>
      <c r="J16" s="24"/>
    </row>
    <row r="17" spans="1:10" ht="15.6" x14ac:dyDescent="0.3">
      <c r="A17" s="14">
        <v>2</v>
      </c>
      <c r="B17" s="40" t="s">
        <v>4</v>
      </c>
      <c r="C17" s="14" t="s">
        <v>7</v>
      </c>
      <c r="D17" s="1">
        <f>E17*H3</f>
        <v>31360000.972499993</v>
      </c>
      <c r="E17" s="15">
        <f>2.05*1*D3</f>
        <v>20557.194999999996</v>
      </c>
      <c r="F17" s="52"/>
      <c r="G17" s="82"/>
      <c r="H17" s="24"/>
      <c r="I17" s="24"/>
      <c r="J17" s="24"/>
    </row>
    <row r="18" spans="1:10" ht="15.6" x14ac:dyDescent="0.3">
      <c r="A18" s="14">
        <v>3</v>
      </c>
      <c r="B18" s="40" t="s">
        <v>4</v>
      </c>
      <c r="C18" s="14" t="s">
        <v>18</v>
      </c>
      <c r="D18" s="1">
        <f>TALLY!F14</f>
        <v>2988088.1771999998</v>
      </c>
      <c r="E18" s="15">
        <f>+D18/I3</f>
        <v>1970.3845546983184</v>
      </c>
      <c r="F18" s="1"/>
      <c r="G18" s="52"/>
      <c r="H18" s="24"/>
      <c r="I18" s="24"/>
      <c r="J18" s="24"/>
    </row>
    <row r="19" spans="1:10" ht="15.6" x14ac:dyDescent="0.3">
      <c r="A19" s="14">
        <v>4</v>
      </c>
      <c r="B19" s="40" t="s">
        <v>4</v>
      </c>
      <c r="C19" s="14" t="s">
        <v>22</v>
      </c>
      <c r="D19" s="1">
        <f>'SERENOS '!I30</f>
        <v>4601336.5925999992</v>
      </c>
      <c r="E19" s="15">
        <f>D19/I3</f>
        <v>3034.181729376854</v>
      </c>
      <c r="F19" s="1"/>
      <c r="G19" s="52"/>
      <c r="H19" s="24"/>
      <c r="I19" s="24"/>
      <c r="J19" s="24"/>
    </row>
    <row r="20" spans="1:10" ht="15.6" x14ac:dyDescent="0.3">
      <c r="A20" s="14">
        <v>5</v>
      </c>
      <c r="B20" s="40" t="s">
        <v>4</v>
      </c>
      <c r="C20" s="14" t="s">
        <v>33</v>
      </c>
      <c r="D20" s="1">
        <f>+E20*H3</f>
        <v>3813750</v>
      </c>
      <c r="E20" s="15">
        <f>1250*2</f>
        <v>2500</v>
      </c>
      <c r="F20" s="1"/>
      <c r="G20" s="24"/>
      <c r="H20" s="24"/>
      <c r="I20" s="24"/>
      <c r="J20" s="24"/>
    </row>
    <row r="21" spans="1:10" ht="15.6" x14ac:dyDescent="0.3">
      <c r="A21" s="14">
        <v>6</v>
      </c>
      <c r="B21" s="40" t="s">
        <v>4</v>
      </c>
      <c r="C21" s="14" t="s">
        <v>26</v>
      </c>
      <c r="D21" s="1">
        <f>(D2-1001)/1000*6942.9+416574</f>
        <v>490696.40039999998</v>
      </c>
      <c r="E21" s="15">
        <f>D21/I3</f>
        <v>323.57164549950545</v>
      </c>
      <c r="F21" s="1"/>
      <c r="G21" s="24"/>
      <c r="H21" s="24"/>
      <c r="I21" s="24"/>
      <c r="J21" s="24"/>
    </row>
    <row r="22" spans="1:10" ht="15.6" x14ac:dyDescent="0.3">
      <c r="A22" s="14">
        <v>7</v>
      </c>
      <c r="B22" s="40"/>
      <c r="C22" s="14" t="s">
        <v>53</v>
      </c>
      <c r="D22" s="1">
        <f>E22*H3</f>
        <v>495787.5</v>
      </c>
      <c r="E22" s="15">
        <f>125+200</f>
        <v>325</v>
      </c>
      <c r="F22" s="1"/>
      <c r="G22" s="24"/>
      <c r="H22" s="24"/>
      <c r="I22" s="24"/>
      <c r="J22" s="24"/>
    </row>
    <row r="23" spans="1:10" ht="15.6" x14ac:dyDescent="0.3">
      <c r="A23" s="14">
        <v>8</v>
      </c>
      <c r="B23" s="40" t="s">
        <v>4</v>
      </c>
      <c r="C23" s="14" t="s">
        <v>34</v>
      </c>
      <c r="D23" s="1">
        <f>160000*2</f>
        <v>320000</v>
      </c>
      <c r="E23" s="15">
        <f>+D23/I3</f>
        <v>211.01219914276294</v>
      </c>
      <c r="F23" s="1"/>
      <c r="G23" s="24"/>
      <c r="H23" s="24"/>
      <c r="I23" s="24"/>
      <c r="J23" s="24"/>
    </row>
    <row r="24" spans="1:10" ht="15.6" x14ac:dyDescent="0.3">
      <c r="A24" s="14">
        <v>9</v>
      </c>
      <c r="B24" s="40" t="s">
        <v>4</v>
      </c>
      <c r="C24" s="14" t="s">
        <v>25</v>
      </c>
      <c r="D24" s="1">
        <v>160000</v>
      </c>
      <c r="E24" s="15">
        <f>D24/I3</f>
        <v>105.50609957138147</v>
      </c>
      <c r="F24" s="1"/>
      <c r="G24" s="24"/>
      <c r="H24" s="24"/>
      <c r="I24" s="24"/>
      <c r="J24" s="24"/>
    </row>
    <row r="25" spans="1:10" ht="15.6" x14ac:dyDescent="0.3">
      <c r="A25" s="14">
        <v>10</v>
      </c>
      <c r="B25" s="40" t="s">
        <v>4</v>
      </c>
      <c r="C25" s="14" t="s">
        <v>21</v>
      </c>
      <c r="D25" s="1">
        <f>E25*H3</f>
        <v>68647.5</v>
      </c>
      <c r="E25" s="15">
        <v>45</v>
      </c>
      <c r="F25" s="1"/>
      <c r="G25" s="24"/>
      <c r="H25" s="24"/>
      <c r="I25" s="24"/>
      <c r="J25" s="24"/>
    </row>
    <row r="26" spans="1:10" ht="15.6" x14ac:dyDescent="0.3">
      <c r="A26" s="14">
        <v>11</v>
      </c>
      <c r="B26" s="40" t="s">
        <v>4</v>
      </c>
      <c r="C26" s="14" t="s">
        <v>15</v>
      </c>
      <c r="D26" s="1">
        <f>+E26*H3</f>
        <v>122040</v>
      </c>
      <c r="E26" s="15">
        <v>80</v>
      </c>
      <c r="F26" s="1"/>
      <c r="G26" s="24"/>
      <c r="H26" s="24"/>
      <c r="I26" s="24"/>
      <c r="J26" s="24"/>
    </row>
    <row r="27" spans="1:10" ht="15.6" x14ac:dyDescent="0.3">
      <c r="A27" s="14">
        <v>12</v>
      </c>
      <c r="B27" s="40" t="s">
        <v>4</v>
      </c>
      <c r="C27" s="14" t="s">
        <v>16</v>
      </c>
      <c r="D27" s="1">
        <f>E27*I3</f>
        <v>1516500</v>
      </c>
      <c r="E27" s="15">
        <v>1000</v>
      </c>
      <c r="F27" s="1"/>
      <c r="G27" s="24"/>
      <c r="H27" s="24"/>
      <c r="I27" s="24"/>
      <c r="J27" s="24"/>
    </row>
    <row r="28" spans="1:10" ht="18" customHeight="1" x14ac:dyDescent="0.3">
      <c r="A28" s="14">
        <v>13</v>
      </c>
      <c r="B28" s="40" t="s">
        <v>4</v>
      </c>
      <c r="C28" s="14" t="s">
        <v>2</v>
      </c>
      <c r="D28" s="1">
        <f>SUM(D16:D26)*1.2/100</f>
        <v>664805.31316919986</v>
      </c>
      <c r="E28" s="15">
        <f>SUM(E16:E26)*1.2/100</f>
        <v>436.1946483394658</v>
      </c>
      <c r="F28" s="1"/>
      <c r="G28" s="24"/>
      <c r="H28" s="24"/>
      <c r="I28" s="24"/>
      <c r="J28" s="24"/>
    </row>
    <row r="29" spans="1:10" ht="15.6" x14ac:dyDescent="0.3">
      <c r="A29" s="14"/>
      <c r="B29" s="40"/>
      <c r="C29" s="14"/>
      <c r="D29" s="1"/>
      <c r="E29" s="54"/>
      <c r="F29" s="1"/>
      <c r="G29" s="24"/>
      <c r="H29" s="24"/>
      <c r="I29" s="24"/>
      <c r="J29" s="24"/>
    </row>
    <row r="30" spans="1:10" ht="13.8" x14ac:dyDescent="0.25">
      <c r="A30" s="14"/>
      <c r="B30" s="53"/>
      <c r="C30" s="55" t="s">
        <v>3</v>
      </c>
      <c r="D30" s="56">
        <f>SUM(D16:D28)</f>
        <v>57581748.077269182</v>
      </c>
      <c r="E30" s="57">
        <f>SUM(E16:E28)</f>
        <v>37785.748676628282</v>
      </c>
      <c r="F30" s="1"/>
      <c r="G30" s="24"/>
      <c r="H30" s="24"/>
      <c r="I30" s="24"/>
      <c r="J30" s="24"/>
    </row>
    <row r="31" spans="1:10" x14ac:dyDescent="0.25">
      <c r="A31" s="14"/>
      <c r="B31" s="53"/>
      <c r="C31" s="14"/>
      <c r="D31" s="1"/>
      <c r="E31" s="15"/>
      <c r="F31" s="1"/>
      <c r="G31" s="24"/>
      <c r="H31" s="24"/>
      <c r="I31" s="24"/>
      <c r="J31" s="24"/>
    </row>
    <row r="32" spans="1:10" x14ac:dyDescent="0.25">
      <c r="A32" s="14"/>
      <c r="B32" s="53"/>
      <c r="C32" s="14"/>
      <c r="D32" s="1"/>
      <c r="E32" s="15"/>
      <c r="F32" s="1"/>
      <c r="G32" s="24"/>
      <c r="H32" s="24"/>
      <c r="I32" s="24"/>
      <c r="J32" s="24"/>
    </row>
    <row r="33" spans="1:10" x14ac:dyDescent="0.25">
      <c r="A33" s="14"/>
      <c r="B33" s="53"/>
      <c r="C33" s="14"/>
      <c r="D33" s="1"/>
      <c r="E33" s="15"/>
      <c r="F33" s="1"/>
      <c r="G33" s="24"/>
      <c r="H33" s="24"/>
      <c r="I33" s="24"/>
      <c r="J33" s="24"/>
    </row>
    <row r="34" spans="1:10" x14ac:dyDescent="0.25">
      <c r="A34" s="24"/>
      <c r="B34" s="24"/>
      <c r="C34" s="24"/>
      <c r="D34" s="1"/>
      <c r="E34" s="15"/>
      <c r="F34" s="1"/>
      <c r="G34" s="54"/>
      <c r="H34" s="24"/>
      <c r="I34" s="24"/>
      <c r="J34" s="24"/>
    </row>
    <row r="35" spans="1:10" x14ac:dyDescent="0.25">
      <c r="A35" s="24"/>
      <c r="B35" s="24"/>
      <c r="C35" s="24"/>
      <c r="D35" s="1"/>
      <c r="E35" s="15"/>
      <c r="F35" s="1"/>
      <c r="G35" s="54"/>
      <c r="H35" s="24"/>
      <c r="I35" s="24"/>
      <c r="J35" s="24"/>
    </row>
    <row r="36" spans="1:10" x14ac:dyDescent="0.25">
      <c r="A36" s="24"/>
      <c r="B36" s="24"/>
      <c r="C36" s="24"/>
      <c r="D36" s="1"/>
      <c r="E36" s="15"/>
      <c r="F36" s="1"/>
      <c r="G36" s="54"/>
      <c r="H36" s="24"/>
      <c r="I36" s="24"/>
      <c r="J36" s="24"/>
    </row>
    <row r="37" spans="1:10" x14ac:dyDescent="0.25">
      <c r="A37" s="14"/>
      <c r="B37" s="53"/>
      <c r="C37" s="58" t="s">
        <v>24</v>
      </c>
      <c r="D37" s="1"/>
      <c r="E37" s="15"/>
      <c r="F37" s="1"/>
      <c r="G37" s="54"/>
      <c r="H37" s="24"/>
      <c r="I37" s="24"/>
      <c r="J37" s="24"/>
    </row>
    <row r="38" spans="1:10" x14ac:dyDescent="0.25">
      <c r="A38" s="24"/>
      <c r="B38" s="24"/>
      <c r="C38" s="14" t="s">
        <v>28</v>
      </c>
      <c r="D38" s="25"/>
      <c r="E38" s="15"/>
      <c r="F38" s="24"/>
      <c r="G38" s="24"/>
      <c r="H38" s="24"/>
      <c r="I38" s="24"/>
      <c r="J38" s="24"/>
    </row>
    <row r="39" spans="1:10" x14ac:dyDescent="0.25">
      <c r="A39" s="24"/>
      <c r="B39" s="24"/>
      <c r="C39" s="14" t="s">
        <v>27</v>
      </c>
      <c r="D39" s="24"/>
      <c r="E39" s="24"/>
      <c r="F39" s="24"/>
      <c r="G39" s="24"/>
      <c r="H39" s="24"/>
      <c r="I39" s="24"/>
      <c r="J39" s="24"/>
    </row>
    <row r="40" spans="1:10" x14ac:dyDescent="0.25">
      <c r="A40" s="24"/>
      <c r="B40" s="24"/>
      <c r="C40" s="14" t="s">
        <v>29</v>
      </c>
      <c r="D40" s="24"/>
      <c r="E40" s="24"/>
      <c r="F40" s="24" t="s">
        <v>30</v>
      </c>
      <c r="G40" s="24"/>
      <c r="H40" s="24"/>
      <c r="I40" s="24"/>
      <c r="J40" s="24"/>
    </row>
    <row r="41" spans="1:1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</row>
    <row r="42" spans="1:10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</row>
    <row r="43" spans="1:1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</row>
    <row r="44" spans="1:1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</row>
    <row r="45" spans="1:1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</row>
    <row r="46" spans="1:1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</row>
    <row r="47" spans="1:1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</row>
    <row r="48" spans="1:10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</row>
    <row r="49" spans="1:10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</row>
    <row r="50" spans="1:1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</row>
    <row r="51" spans="1:10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</row>
    <row r="52" spans="1:10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</row>
    <row r="53" spans="1:10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</row>
    <row r="54" spans="1:10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</row>
    <row r="55" spans="1:10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</row>
    <row r="56" spans="1:10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</row>
    <row r="57" spans="1:10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</row>
    <row r="58" spans="1:10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</row>
    <row r="59" spans="1:10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</row>
  </sheetData>
  <pageMargins left="0.75" right="0.75" top="1" bottom="1" header="0" footer="0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3698-2E5D-4769-AE52-241606D87CA4}">
  <sheetPr>
    <pageSetUpPr fitToPage="1"/>
  </sheetPr>
  <dimension ref="C1:K33"/>
  <sheetViews>
    <sheetView topLeftCell="A6" zoomScale="87" zoomScaleNormal="87" workbookViewId="0">
      <selection activeCell="I30" sqref="I30:I32"/>
    </sheetView>
  </sheetViews>
  <sheetFormatPr baseColWidth="10" defaultColWidth="11.44140625" defaultRowHeight="13.2" x14ac:dyDescent="0.25"/>
  <cols>
    <col min="1" max="1" width="1.6640625" style="4" customWidth="1"/>
    <col min="2" max="2" width="7" style="4" customWidth="1"/>
    <col min="3" max="5" width="18" style="4" customWidth="1"/>
    <col min="6" max="6" width="18.109375" style="4" customWidth="1"/>
    <col min="7" max="9" width="15.44140625" style="4" customWidth="1"/>
    <col min="10" max="16384" width="11.44140625" style="4"/>
  </cols>
  <sheetData>
    <row r="1" spans="3:11" x14ac:dyDescent="0.25">
      <c r="D1" s="18"/>
      <c r="E1" s="18"/>
      <c r="F1"/>
      <c r="K1"/>
    </row>
    <row r="2" spans="3:11" x14ac:dyDescent="0.25">
      <c r="C2" s="61"/>
      <c r="D2" s="62"/>
      <c r="E2" s="62"/>
      <c r="F2" s="60"/>
      <c r="G2" s="61"/>
      <c r="K2"/>
    </row>
    <row r="3" spans="3:11" x14ac:dyDescent="0.25">
      <c r="C3" s="61"/>
      <c r="D3" s="62"/>
      <c r="E3" s="62"/>
      <c r="F3" s="60"/>
      <c r="G3" s="61"/>
      <c r="K3" s="68"/>
    </row>
    <row r="4" spans="3:11" ht="14.4" x14ac:dyDescent="0.25">
      <c r="C4" s="61"/>
      <c r="D4" s="63"/>
      <c r="E4" s="63"/>
      <c r="F4" s="60"/>
      <c r="G4" s="61"/>
      <c r="K4" s="68"/>
    </row>
    <row r="5" spans="3:11" x14ac:dyDescent="0.25">
      <c r="C5"/>
      <c r="D5"/>
      <c r="E5"/>
      <c r="F5" s="96" t="str">
        <f>OCEANWAY!C13</f>
        <v>MV PORT ALBERNI</v>
      </c>
      <c r="G5" s="96"/>
      <c r="H5"/>
      <c r="I5"/>
      <c r="K5"/>
    </row>
    <row r="6" spans="3:11" x14ac:dyDescent="0.25">
      <c r="C6"/>
      <c r="D6"/>
      <c r="E6"/>
      <c r="F6"/>
      <c r="G6"/>
      <c r="H6"/>
      <c r="I6"/>
      <c r="K6"/>
    </row>
    <row r="7" spans="3:11" ht="13.8" thickBot="1" x14ac:dyDescent="0.3">
      <c r="C7"/>
      <c r="D7"/>
      <c r="E7" s="68"/>
      <c r="F7" s="68"/>
      <c r="G7" s="68"/>
      <c r="H7" s="68"/>
      <c r="I7"/>
      <c r="K7"/>
    </row>
    <row r="8" spans="3:11" ht="18" thickBot="1" x14ac:dyDescent="0.35">
      <c r="C8" s="16"/>
      <c r="D8" s="17" t="s">
        <v>8</v>
      </c>
      <c r="E8" s="16">
        <v>46290</v>
      </c>
      <c r="F8" s="132">
        <v>46291</v>
      </c>
      <c r="G8" s="16"/>
      <c r="H8" s="87"/>
      <c r="I8" s="88" t="s">
        <v>3</v>
      </c>
      <c r="K8"/>
    </row>
    <row r="9" spans="3:11" x14ac:dyDescent="0.25">
      <c r="C9" s="97" t="s">
        <v>47</v>
      </c>
      <c r="D9" s="119" t="s">
        <v>9</v>
      </c>
      <c r="E9" s="100"/>
      <c r="F9" s="112">
        <v>580462.6</v>
      </c>
      <c r="G9" s="100"/>
      <c r="H9" s="100"/>
      <c r="I9" s="103">
        <f>SUM(E9:H11)</f>
        <v>580462.6</v>
      </c>
      <c r="K9"/>
    </row>
    <row r="10" spans="3:11" x14ac:dyDescent="0.25">
      <c r="C10" s="98"/>
      <c r="D10" s="120"/>
      <c r="E10" s="101"/>
      <c r="F10" s="113"/>
      <c r="G10" s="101"/>
      <c r="H10" s="101"/>
      <c r="I10" s="104"/>
      <c r="K10"/>
    </row>
    <row r="11" spans="3:11" ht="13.8" thickBot="1" x14ac:dyDescent="0.3">
      <c r="C11" s="99"/>
      <c r="D11" s="121"/>
      <c r="E11" s="102"/>
      <c r="F11" s="114"/>
      <c r="G11" s="102"/>
      <c r="H11" s="102"/>
      <c r="I11" s="105"/>
      <c r="K11"/>
    </row>
    <row r="12" spans="3:11" x14ac:dyDescent="0.25">
      <c r="C12" s="97" t="s">
        <v>48</v>
      </c>
      <c r="D12" s="122" t="s">
        <v>10</v>
      </c>
      <c r="E12" s="100"/>
      <c r="F12" s="123">
        <v>386930.38</v>
      </c>
      <c r="G12" s="100"/>
      <c r="H12" s="100"/>
      <c r="I12" s="103">
        <f>SUM(E12:H14)</f>
        <v>386930.38</v>
      </c>
      <c r="K12" s="95"/>
    </row>
    <row r="13" spans="3:11" x14ac:dyDescent="0.25">
      <c r="C13" s="98"/>
      <c r="D13" s="120"/>
      <c r="E13" s="101"/>
      <c r="F13" s="124"/>
      <c r="G13" s="101"/>
      <c r="H13" s="101"/>
      <c r="I13" s="104"/>
      <c r="K13"/>
    </row>
    <row r="14" spans="3:11" ht="13.8" thickBot="1" x14ac:dyDescent="0.3">
      <c r="C14" s="99"/>
      <c r="D14" s="121"/>
      <c r="E14" s="102"/>
      <c r="F14" s="125"/>
      <c r="G14" s="102"/>
      <c r="H14" s="102"/>
      <c r="I14" s="105"/>
      <c r="K14" s="73"/>
    </row>
    <row r="15" spans="3:11" x14ac:dyDescent="0.25">
      <c r="C15" s="97" t="s">
        <v>45</v>
      </c>
      <c r="D15" s="126" t="s">
        <v>11</v>
      </c>
      <c r="E15" s="106">
        <v>290229.31</v>
      </c>
      <c r="F15" s="129">
        <v>386930.38</v>
      </c>
      <c r="G15" s="100"/>
      <c r="H15" s="100"/>
      <c r="I15" s="103">
        <f>SUM(E15:H17)</f>
        <v>677159.69</v>
      </c>
      <c r="K15"/>
    </row>
    <row r="16" spans="3:11" x14ac:dyDescent="0.25">
      <c r="C16" s="98"/>
      <c r="D16" s="127"/>
      <c r="E16" s="107"/>
      <c r="F16" s="130"/>
      <c r="G16" s="101"/>
      <c r="H16" s="101"/>
      <c r="I16" s="104"/>
      <c r="K16" s="95"/>
    </row>
    <row r="17" spans="3:11" ht="13.8" thickBot="1" x14ac:dyDescent="0.3">
      <c r="C17" s="99"/>
      <c r="D17" s="128"/>
      <c r="E17" s="108"/>
      <c r="F17" s="131"/>
      <c r="G17" s="102"/>
      <c r="H17" s="102"/>
      <c r="I17" s="105"/>
      <c r="K17"/>
    </row>
    <row r="18" spans="3:11" x14ac:dyDescent="0.25">
      <c r="C18" s="97" t="s">
        <v>46</v>
      </c>
      <c r="D18" s="119" t="s">
        <v>12</v>
      </c>
      <c r="E18" s="106">
        <v>435353.11</v>
      </c>
      <c r="F18" s="123"/>
      <c r="G18" s="100"/>
      <c r="H18" s="100"/>
      <c r="I18" s="103">
        <f>SUM(E18:H20)</f>
        <v>435353.11</v>
      </c>
      <c r="K18"/>
    </row>
    <row r="19" spans="3:11" x14ac:dyDescent="0.25">
      <c r="C19" s="98"/>
      <c r="D19" s="120"/>
      <c r="E19" s="107"/>
      <c r="F19" s="124"/>
      <c r="G19" s="101"/>
      <c r="H19" s="101"/>
      <c r="I19" s="104"/>
      <c r="K19"/>
    </row>
    <row r="20" spans="3:11" ht="13.8" thickBot="1" x14ac:dyDescent="0.3">
      <c r="C20" s="99"/>
      <c r="D20" s="121"/>
      <c r="E20" s="108"/>
      <c r="F20" s="125"/>
      <c r="G20" s="102"/>
      <c r="H20" s="102"/>
      <c r="I20" s="105"/>
      <c r="K20"/>
    </row>
    <row r="21" spans="3:11" x14ac:dyDescent="0.25">
      <c r="C21" s="18"/>
      <c r="D21"/>
      <c r="E21" s="84"/>
      <c r="F21" s="84"/>
      <c r="G21" s="84"/>
      <c r="H21" s="115" t="s">
        <v>13</v>
      </c>
      <c r="I21" s="103">
        <f>SUM(I9:I20)</f>
        <v>2079905.7799999998</v>
      </c>
      <c r="K21"/>
    </row>
    <row r="22" spans="3:11" ht="22.8" x14ac:dyDescent="0.4">
      <c r="C22" s="18"/>
      <c r="D22" s="13"/>
      <c r="E22" s="89"/>
      <c r="F22" s="89"/>
      <c r="G22" s="89"/>
      <c r="H22" s="116"/>
      <c r="I22" s="104"/>
      <c r="K22"/>
    </row>
    <row r="23" spans="3:11" ht="14.4" thickBot="1" x14ac:dyDescent="0.35">
      <c r="C23" s="66"/>
      <c r="D23" s="66" t="s">
        <v>38</v>
      </c>
      <c r="F23" s="90"/>
      <c r="H23" s="117"/>
      <c r="I23" s="105"/>
      <c r="K23"/>
    </row>
    <row r="24" spans="3:11" ht="13.8" x14ac:dyDescent="0.3">
      <c r="C24" s="66"/>
      <c r="D24" s="4" t="s">
        <v>39</v>
      </c>
      <c r="F24" s="91"/>
      <c r="H24" s="109">
        <v>1.17</v>
      </c>
      <c r="I24" s="103">
        <f>I21*H24</f>
        <v>2433489.7625999996</v>
      </c>
      <c r="K24"/>
    </row>
    <row r="25" spans="3:11" x14ac:dyDescent="0.25">
      <c r="D25" s="4" t="s">
        <v>40</v>
      </c>
      <c r="F25" s="91"/>
      <c r="H25" s="110"/>
      <c r="I25" s="104"/>
      <c r="K25"/>
    </row>
    <row r="26" spans="3:11" ht="13.8" thickBot="1" x14ac:dyDescent="0.3">
      <c r="D26" s="72">
        <v>46290</v>
      </c>
      <c r="H26" s="111"/>
      <c r="I26" s="105"/>
      <c r="K26"/>
    </row>
    <row r="27" spans="3:11" x14ac:dyDescent="0.25">
      <c r="C27" s="72"/>
      <c r="D27" s="4" t="s">
        <v>41</v>
      </c>
      <c r="F27" s="19"/>
      <c r="G27" s="20"/>
      <c r="H27" s="115" t="s">
        <v>14</v>
      </c>
      <c r="I27" s="103">
        <f>5*17588.21</f>
        <v>87941.049999999988</v>
      </c>
      <c r="K27"/>
    </row>
    <row r="28" spans="3:11" x14ac:dyDescent="0.25">
      <c r="D28" s="72" t="s">
        <v>42</v>
      </c>
      <c r="F28"/>
      <c r="G28" s="9"/>
      <c r="H28" s="116"/>
      <c r="I28" s="104"/>
      <c r="K28"/>
    </row>
    <row r="29" spans="3:11" ht="13.8" thickBot="1" x14ac:dyDescent="0.3">
      <c r="C29" s="72"/>
      <c r="D29" s="72">
        <v>46291</v>
      </c>
      <c r="F29"/>
      <c r="G29" s="18"/>
      <c r="H29" s="117"/>
      <c r="I29" s="105"/>
      <c r="K29"/>
    </row>
    <row r="30" spans="3:11" x14ac:dyDescent="0.25">
      <c r="D30" s="72" t="s">
        <v>43</v>
      </c>
      <c r="F30"/>
      <c r="G30" s="18"/>
      <c r="H30" s="109" t="s">
        <v>3</v>
      </c>
      <c r="I30" s="103">
        <f>SUM(I21:I29)</f>
        <v>4601336.5925999992</v>
      </c>
      <c r="K30"/>
    </row>
    <row r="31" spans="3:11" ht="15.6" x14ac:dyDescent="0.25">
      <c r="C31" s="72"/>
      <c r="D31" s="4" t="s">
        <v>44</v>
      </c>
      <c r="F31" s="10"/>
      <c r="G31" s="10"/>
      <c r="H31" s="110"/>
      <c r="I31" s="104"/>
      <c r="K31"/>
    </row>
    <row r="32" spans="3:11" ht="16.2" thickBot="1" x14ac:dyDescent="0.35">
      <c r="C32" s="67"/>
      <c r="F32" s="5"/>
      <c r="G32" s="5"/>
      <c r="H32" s="111"/>
      <c r="I32" s="105"/>
    </row>
    <row r="33" spans="3:9" ht="15.6" x14ac:dyDescent="0.25">
      <c r="C33" s="21"/>
      <c r="D33" s="5"/>
      <c r="E33" s="5"/>
      <c r="F33" s="5"/>
      <c r="G33" s="5"/>
      <c r="H33" s="22"/>
      <c r="I33" s="23"/>
    </row>
  </sheetData>
  <mergeCells count="37">
    <mergeCell ref="I15:I17"/>
    <mergeCell ref="I18:I20"/>
    <mergeCell ref="I30:I32"/>
    <mergeCell ref="H21:H23"/>
    <mergeCell ref="I21:I23"/>
    <mergeCell ref="H24:H26"/>
    <mergeCell ref="I24:I26"/>
    <mergeCell ref="H27:H29"/>
    <mergeCell ref="I27:I29"/>
    <mergeCell ref="H18:H20"/>
    <mergeCell ref="G15:G17"/>
    <mergeCell ref="H30:H32"/>
    <mergeCell ref="H15:H17"/>
    <mergeCell ref="C15:C17"/>
    <mergeCell ref="D15:D17"/>
    <mergeCell ref="F15:F17"/>
    <mergeCell ref="G18:G20"/>
    <mergeCell ref="C18:C20"/>
    <mergeCell ref="D18:D20"/>
    <mergeCell ref="F18:F20"/>
    <mergeCell ref="E15:E17"/>
    <mergeCell ref="E18:E20"/>
    <mergeCell ref="I9:I11"/>
    <mergeCell ref="C12:C14"/>
    <mergeCell ref="D12:D14"/>
    <mergeCell ref="F12:F14"/>
    <mergeCell ref="H12:H14"/>
    <mergeCell ref="I12:I14"/>
    <mergeCell ref="G9:G11"/>
    <mergeCell ref="G12:G14"/>
    <mergeCell ref="E12:E14"/>
    <mergeCell ref="F5:G5"/>
    <mergeCell ref="C9:C11"/>
    <mergeCell ref="D9:D11"/>
    <mergeCell ref="F9:F11"/>
    <mergeCell ref="H9:H11"/>
    <mergeCell ref="E9:E11"/>
  </mergeCells>
  <pageMargins left="0.15748031496062992" right="0.15748031496062992" top="0.39370078740157483" bottom="0.39370078740157483" header="0" footer="0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0C11-77E9-43BC-A913-FCE99770553C}">
  <dimension ref="A1:K14"/>
  <sheetViews>
    <sheetView workbookViewId="0">
      <selection activeCell="I8" sqref="I8:K8"/>
    </sheetView>
  </sheetViews>
  <sheetFormatPr baseColWidth="10" defaultRowHeight="13.2" x14ac:dyDescent="0.25"/>
  <cols>
    <col min="1" max="1" width="14.88671875" customWidth="1"/>
    <col min="5" max="5" width="12.77734375" bestFit="1" customWidth="1"/>
    <col min="6" max="7" width="15.109375" customWidth="1"/>
    <col min="8" max="8" width="7.77734375" customWidth="1"/>
  </cols>
  <sheetData>
    <row r="1" spans="1:11" x14ac:dyDescent="0.25">
      <c r="D1" s="27"/>
      <c r="E1" s="26"/>
    </row>
    <row r="3" spans="1:11" x14ac:dyDescent="0.25">
      <c r="H3" s="68"/>
      <c r="I3" s="86"/>
      <c r="K3" s="84"/>
    </row>
    <row r="4" spans="1:11" x14ac:dyDescent="0.25">
      <c r="H4" s="68"/>
      <c r="K4" s="84"/>
    </row>
    <row r="5" spans="1:11" x14ac:dyDescent="0.25">
      <c r="I5" s="86"/>
      <c r="K5" s="84"/>
    </row>
    <row r="6" spans="1:11" x14ac:dyDescent="0.25">
      <c r="D6" s="96" t="str">
        <f>OCEANWAY!C13</f>
        <v>MV PORT ALBERNI</v>
      </c>
      <c r="E6" s="96"/>
      <c r="F6" s="96"/>
      <c r="G6" s="83"/>
      <c r="I6" s="86">
        <v>46290</v>
      </c>
      <c r="J6" s="68" t="s">
        <v>49</v>
      </c>
      <c r="K6" s="26" t="s">
        <v>52</v>
      </c>
    </row>
    <row r="7" spans="1:11" x14ac:dyDescent="0.25">
      <c r="I7" s="86"/>
      <c r="J7" s="68" t="s">
        <v>50</v>
      </c>
      <c r="K7" s="26">
        <v>100</v>
      </c>
    </row>
    <row r="8" spans="1:11" x14ac:dyDescent="0.25">
      <c r="A8" s="75"/>
      <c r="C8" s="4"/>
      <c r="D8" s="4" t="s">
        <v>17</v>
      </c>
      <c r="E8" s="7">
        <v>192587.3</v>
      </c>
      <c r="F8" s="8">
        <f>C8*E8</f>
        <v>0</v>
      </c>
      <c r="G8" s="85"/>
      <c r="I8" s="133">
        <v>46291</v>
      </c>
      <c r="J8" s="134" t="s">
        <v>51</v>
      </c>
      <c r="K8" s="135">
        <v>150</v>
      </c>
    </row>
    <row r="9" spans="1:11" x14ac:dyDescent="0.25">
      <c r="A9" s="75"/>
      <c r="C9" s="4">
        <v>1</v>
      </c>
      <c r="D9" s="4" t="s">
        <v>17</v>
      </c>
      <c r="E9" s="7">
        <v>298510.31</v>
      </c>
      <c r="F9" s="8">
        <f>C9*E9</f>
        <v>298510.31</v>
      </c>
      <c r="G9" s="85"/>
      <c r="I9" s="86"/>
      <c r="K9" s="84"/>
    </row>
    <row r="10" spans="1:11" x14ac:dyDescent="0.25">
      <c r="A10" s="76"/>
      <c r="C10" s="4">
        <v>1</v>
      </c>
      <c r="D10" s="4" t="s">
        <v>17</v>
      </c>
      <c r="E10" s="7">
        <v>491097.59999999998</v>
      </c>
      <c r="F10" s="8">
        <f>C10*E10</f>
        <v>491097.59999999998</v>
      </c>
      <c r="G10" s="85"/>
      <c r="K10" s="84"/>
    </row>
    <row r="11" spans="1:11" x14ac:dyDescent="0.25">
      <c r="A11" s="76"/>
      <c r="C11" s="4">
        <v>1</v>
      </c>
      <c r="D11" s="4" t="s">
        <v>17</v>
      </c>
      <c r="E11" s="7">
        <v>587391.25</v>
      </c>
      <c r="F11" s="11">
        <f>C11*E11</f>
        <v>587391.25</v>
      </c>
      <c r="G11" s="85"/>
      <c r="I11" s="86"/>
      <c r="K11" s="84"/>
    </row>
    <row r="12" spans="1:11" x14ac:dyDescent="0.25">
      <c r="C12" s="4"/>
      <c r="D12" s="4"/>
      <c r="E12" s="8"/>
      <c r="F12" s="8">
        <f>SUM(F8:F11)</f>
        <v>1376999.16</v>
      </c>
      <c r="G12" s="85"/>
      <c r="K12" s="84"/>
    </row>
    <row r="13" spans="1:11" x14ac:dyDescent="0.25">
      <c r="C13" s="4"/>
      <c r="D13" s="4"/>
      <c r="E13" s="9">
        <v>1.17</v>
      </c>
      <c r="F13" s="12">
        <f>F12*E13</f>
        <v>1611089.0171999999</v>
      </c>
      <c r="G13" s="6"/>
    </row>
    <row r="14" spans="1:11" x14ac:dyDescent="0.25">
      <c r="C14" s="4"/>
      <c r="D14" s="4"/>
      <c r="E14" s="4"/>
      <c r="F14" s="6">
        <f>SUM(F12:F13)</f>
        <v>2988088.1771999998</v>
      </c>
      <c r="G14" s="6"/>
      <c r="H14" s="73"/>
    </row>
  </sheetData>
  <mergeCells count="1">
    <mergeCell ref="D6:F6"/>
  </mergeCells>
  <pageMargins left="0.23622047244094491" right="0.23622047244094491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OCEANWAY</vt:lpstr>
      <vt:lpstr>SERENOS </vt:lpstr>
      <vt:lpstr>TALLY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 White S.A.</dc:creator>
  <cp:lastModifiedBy>Sea White S.A.</cp:lastModifiedBy>
  <dcterms:created xsi:type="dcterms:W3CDTF">2008-11-25T18:43:19Z</dcterms:created>
  <dcterms:modified xsi:type="dcterms:W3CDTF">2026-09-28T13:58:08Z</dcterms:modified>
</cp:coreProperties>
</file>