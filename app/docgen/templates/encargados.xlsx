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a.teysseyre\Downloads\"/>
    </mc:Choice>
  </mc:AlternateContent>
  <xr:revisionPtr revIDLastSave="0" documentId="8_{45544626-F619-43B9-B665-4FA9ED2202EA}" xr6:coauthVersionLast="47" xr6:coauthVersionMax="47" xr10:uidLastSave="{00000000-0000-0000-0000-000000000000}"/>
  <bookViews>
    <workbookView xWindow="-108" yWindow="-108" windowWidth="23256" windowHeight="12456" activeTab="1" xr2:uid="{E501C30D-468A-463C-B3C2-EF3270BA1990}"/>
  </bookViews>
  <sheets>
    <sheet name="Hoja1" sheetId="1" r:id="rId1"/>
    <sheet name="CL YINGNA H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33" i="2" l="1"/>
  <c r="J31" i="2"/>
  <c r="I31" i="2"/>
  <c r="H31" i="2"/>
  <c r="F31" i="2"/>
  <c r="K26" i="2"/>
  <c r="K23" i="2"/>
  <c r="K22" i="2"/>
  <c r="G21" i="2"/>
  <c r="O26" i="2" l="1"/>
  <c r="N26" i="2"/>
  <c r="M26" i="2"/>
  <c r="L26" i="2"/>
  <c r="P26" i="2" s="1"/>
  <c r="N23" i="2"/>
  <c r="M23" i="2"/>
  <c r="L23" i="2"/>
  <c r="O23" i="2"/>
  <c r="P23" i="2"/>
  <c r="O22" i="2"/>
  <c r="N22" i="2"/>
  <c r="L22" i="2"/>
  <c r="M22" i="2"/>
  <c r="P22" i="2" s="1"/>
  <c r="G31" i="2"/>
  <c r="K21" i="2"/>
  <c r="L21" i="2" l="1"/>
  <c r="L31" i="2" s="1"/>
  <c r="M21" i="2"/>
  <c r="M31" i="2" s="1"/>
  <c r="N21" i="2"/>
  <c r="N31" i="2" s="1"/>
  <c r="O21" i="2"/>
  <c r="O31" i="2" s="1"/>
  <c r="P21" i="2"/>
  <c r="P31" i="2" s="1"/>
  <c r="K31" i="2"/>
</calcChain>
</file>

<file path=xl/sharedStrings.xml><?xml version="1.0" encoding="utf-8"?>
<sst xmlns="http://schemas.openxmlformats.org/spreadsheetml/2006/main" count="67" uniqueCount="60">
  <si>
    <t>AGENCIA MARITIMA SEA WHITE S.A</t>
  </si>
  <si>
    <t>FACUNDO ZUVIRIA 401</t>
  </si>
  <si>
    <t>Nros de inscripcion:</t>
  </si>
  <si>
    <t>Buque:</t>
  </si>
  <si>
    <t>CL YINGNA HE</t>
  </si>
  <si>
    <t>En el puerto de Bahía Blanca a los ....días del mes de ...............</t>
  </si>
  <si>
    <t>CGPBB  :</t>
  </si>
  <si>
    <t xml:space="preserve">             C.U.I.T.:</t>
  </si>
  <si>
    <t>Lugar de trab:</t>
  </si>
  <si>
    <t>A BORDO DEL BUQUE</t>
  </si>
  <si>
    <t>del año...........comparece ante el suscripto funcionamiento del</t>
  </si>
  <si>
    <t>P.N.A.    :</t>
  </si>
  <si>
    <t xml:space="preserve">             E.N.C.O.N.:</t>
  </si>
  <si>
    <t>Operación:</t>
  </si>
  <si>
    <t>CARGA</t>
  </si>
  <si>
    <t>Consorcio de Gestión del Purto de B.Bca. El representante de la</t>
  </si>
  <si>
    <t>ANSESS:</t>
  </si>
  <si>
    <t xml:space="preserve">             E.N.G.A.R.:</t>
  </si>
  <si>
    <t>Tipo de carga:</t>
  </si>
  <si>
    <t>MATERIALES</t>
  </si>
  <si>
    <t xml:space="preserve">empresa......................a fin de efectuar la Declaración jurada de </t>
  </si>
  <si>
    <t>Puerto:</t>
  </si>
  <si>
    <t>BAHIA BLANCA</t>
  </si>
  <si>
    <t>la nómina delpersonal eventual contratado, correspondiente al</t>
  </si>
  <si>
    <t>Sitio:</t>
  </si>
  <si>
    <t>LDC</t>
  </si>
  <si>
    <t>día.............conforme al detalle que obra a continuación.</t>
  </si>
  <si>
    <t>Fecha</t>
  </si>
  <si>
    <t>20/10/2026</t>
  </si>
  <si>
    <t xml:space="preserve">      Adicional General</t>
  </si>
  <si>
    <t xml:space="preserve">        Retenciones</t>
  </si>
  <si>
    <t>Horario</t>
  </si>
  <si>
    <t>Jornal</t>
  </si>
  <si>
    <t>Insal.</t>
  </si>
  <si>
    <t>1era</t>
  </si>
  <si>
    <t>Ext.</t>
  </si>
  <si>
    <t>Ad. Trab.</t>
  </si>
  <si>
    <t>Total</t>
  </si>
  <si>
    <t>I. y F.</t>
  </si>
  <si>
    <t>Apellido y Nombre</t>
  </si>
  <si>
    <t>C.U.I.L.</t>
  </si>
  <si>
    <t>Categ.</t>
  </si>
  <si>
    <t>Bod</t>
  </si>
  <si>
    <t>Básico</t>
  </si>
  <si>
    <t>prod.</t>
  </si>
  <si>
    <t>Peligro</t>
  </si>
  <si>
    <t>Bruto</t>
  </si>
  <si>
    <t>O.S. 3%</t>
  </si>
  <si>
    <t>Jubil.11%</t>
  </si>
  <si>
    <t>Sind.3%</t>
  </si>
  <si>
    <t>Ley 3%</t>
  </si>
  <si>
    <t>Neto</t>
  </si>
  <si>
    <t>0700-1300</t>
  </si>
  <si>
    <t>Bruno Aceituno</t>
  </si>
  <si>
    <t>ENCARGADO</t>
  </si>
  <si>
    <t>1300-1900</t>
  </si>
  <si>
    <t>1900-0100</t>
  </si>
  <si>
    <t>0100-0700</t>
  </si>
  <si>
    <t>TOTALES</t>
  </si>
  <si>
    <t>Viaticos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</si>
</sst>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$&quot;_-;\-* #,##0.00\ &quot;$&quot;_-;_-* &quot;-&quot;??\ &quot;$&quot;_-;_-@_-"/>
    <numFmt numFmtId="164" formatCode="_(&quot;$&quot;* #,##0.00_);_(&quot;$&quot;* \(#,##0.00\);_(&quot;$&quot;* &quot;-&quot;??_);_(@_)"/>
    <numFmt numFmtId="165" formatCode="_-&quot;$&quot;\ * #,##0.00_-;\-&quot;$&quot;\ * #,##0.00_-;_-&quot;$&quot;\ * &quot;-&quot;??_-;_-@_-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6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i/>
      <sz val="14"/>
      <name val="Century Gothic"/>
      <family val="2"/>
    </font>
    <font>
      <i/>
      <sz val="10"/>
      <name val="Century Gothic"/>
      <family val="2"/>
    </font>
    <font>
      <sz val="14"/>
      <name val="Century Gothic"/>
      <family val="2"/>
    </font>
    <font>
      <sz val="9"/>
      <name val="Century Gothic"/>
      <family val="2"/>
    </font>
    <font>
      <sz val="18"/>
      <name val="Century Gothic"/>
      <family val="2"/>
    </font>
    <font>
      <b/>
      <i/>
      <u/>
      <sz val="18"/>
      <name val="Century Gothic"/>
      <family val="2"/>
    </font>
    <font>
      <sz val="18"/>
      <name val="Arial"/>
      <family val="2"/>
    </font>
    <font>
      <sz val="18"/>
      <name val="Bookman Old Style"/>
      <family val="1"/>
    </font>
    <font>
      <sz val="9"/>
      <name val="Arial"/>
      <family val="2"/>
    </font>
    <font>
      <i/>
      <sz val="10"/>
      <name val="Arial"/>
      <family val="2"/>
    </font>
    <font>
      <sz val="9"/>
      <name val="Bookman Old Style"/>
      <family val="1"/>
    </font>
    <font>
      <sz val="8"/>
      <name val="Arial"/>
      <family val="2"/>
    </font>
    <font>
      <b/>
      <i/>
      <u/>
      <sz val="9"/>
      <name val="Arial"/>
      <family val="2"/>
    </font>
    <font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69">
    <xf numFmtId="0" fontId="0" fillId="0" borderId="0" xfId="0"/>
    <xf numFmtId="0" fontId="3" fillId="2" borderId="0" xfId="2" applyFont="1" applyFill="1"/>
    <xf numFmtId="0" fontId="4" fillId="2" borderId="0" xfId="2" applyFont="1" applyFill="1"/>
    <xf numFmtId="0" fontId="5" fillId="0" borderId="0" xfId="2" applyFont="1"/>
    <xf numFmtId="0" fontId="6" fillId="0" borderId="1" xfId="2" applyFont="1" applyBorder="1"/>
    <xf numFmtId="0" fontId="6" fillId="0" borderId="2" xfId="2" applyFont="1" applyBorder="1"/>
    <xf numFmtId="0" fontId="6" fillId="0" borderId="3" xfId="2" applyFont="1" applyBorder="1"/>
    <xf numFmtId="0" fontId="7" fillId="2" borderId="0" xfId="2" applyFont="1" applyFill="1"/>
    <xf numFmtId="0" fontId="6" fillId="0" borderId="4" xfId="2" applyFont="1" applyBorder="1"/>
    <xf numFmtId="0" fontId="6" fillId="0" borderId="0" xfId="2" applyFont="1"/>
    <xf numFmtId="0" fontId="6" fillId="0" borderId="5" xfId="2" applyFont="1" applyBorder="1"/>
    <xf numFmtId="0" fontId="8" fillId="0" borderId="4" xfId="2" applyFont="1" applyBorder="1"/>
    <xf numFmtId="0" fontId="8" fillId="0" borderId="0" xfId="2" applyFont="1"/>
    <xf numFmtId="0" fontId="8" fillId="0" borderId="5" xfId="2" applyFont="1" applyBorder="1"/>
    <xf numFmtId="0" fontId="8" fillId="0" borderId="0" xfId="2" applyFont="1" applyAlignment="1">
      <alignment horizontal="center"/>
    </xf>
    <xf numFmtId="0" fontId="8" fillId="0" borderId="5" xfId="2" applyFont="1" applyBorder="1" applyAlignment="1">
      <alignment horizontal="center"/>
    </xf>
    <xf numFmtId="0" fontId="8" fillId="0" borderId="5" xfId="2" applyFont="1" applyBorder="1" applyAlignment="1">
      <alignment horizontal="center"/>
    </xf>
    <xf numFmtId="49" fontId="8" fillId="0" borderId="0" xfId="2" applyNumberFormat="1" applyFont="1"/>
    <xf numFmtId="14" fontId="8" fillId="0" borderId="5" xfId="2" applyNumberFormat="1" applyFont="1" applyBorder="1" applyAlignment="1">
      <alignment horizontal="left"/>
    </xf>
    <xf numFmtId="0" fontId="8" fillId="0" borderId="6" xfId="2" applyFont="1" applyBorder="1"/>
    <xf numFmtId="0" fontId="8" fillId="0" borderId="7" xfId="2" applyFont="1" applyBorder="1"/>
    <xf numFmtId="0" fontId="8" fillId="0" borderId="8" xfId="2" applyFont="1" applyBorder="1"/>
    <xf numFmtId="0" fontId="3" fillId="2" borderId="9" xfId="2" applyFont="1" applyFill="1" applyBorder="1"/>
    <xf numFmtId="0" fontId="9" fillId="2" borderId="0" xfId="2" applyFont="1" applyFill="1"/>
    <xf numFmtId="0" fontId="3" fillId="2" borderId="10" xfId="2" applyFont="1" applyFill="1" applyBorder="1" applyAlignment="1">
      <alignment horizontal="center"/>
    </xf>
    <xf numFmtId="0" fontId="3" fillId="2" borderId="11" xfId="2" applyFont="1" applyFill="1" applyBorder="1" applyAlignment="1">
      <alignment horizontal="center"/>
    </xf>
    <xf numFmtId="0" fontId="3" fillId="2" borderId="12" xfId="2" applyFont="1" applyFill="1" applyBorder="1"/>
    <xf numFmtId="0" fontId="3" fillId="2" borderId="13" xfId="2" applyFont="1" applyFill="1" applyBorder="1" applyAlignment="1">
      <alignment horizontal="center"/>
    </xf>
    <xf numFmtId="0" fontId="8" fillId="2" borderId="14" xfId="2" applyFont="1" applyFill="1" applyBorder="1" applyAlignment="1">
      <alignment horizontal="center"/>
    </xf>
    <xf numFmtId="0" fontId="8" fillId="2" borderId="14" xfId="2" applyFont="1" applyFill="1" applyBorder="1"/>
    <xf numFmtId="0" fontId="8" fillId="2" borderId="15" xfId="2" applyFont="1" applyFill="1" applyBorder="1" applyAlignment="1">
      <alignment horizontal="center"/>
    </xf>
    <xf numFmtId="0" fontId="8" fillId="2" borderId="16" xfId="2" applyFont="1" applyFill="1" applyBorder="1" applyAlignment="1">
      <alignment horizontal="center"/>
    </xf>
    <xf numFmtId="0" fontId="9" fillId="2" borderId="0" xfId="2" applyFont="1" applyFill="1" applyAlignment="1">
      <alignment horizontal="center"/>
    </xf>
    <xf numFmtId="0" fontId="8" fillId="2" borderId="17" xfId="2" applyFont="1" applyFill="1" applyBorder="1" applyAlignment="1">
      <alignment horizontal="center"/>
    </xf>
    <xf numFmtId="9" fontId="8" fillId="2" borderId="17" xfId="2" applyNumberFormat="1" applyFont="1" applyFill="1" applyBorder="1" applyAlignment="1">
      <alignment horizontal="center"/>
    </xf>
    <xf numFmtId="9" fontId="8" fillId="2" borderId="17" xfId="2" applyNumberFormat="1" applyFont="1" applyFill="1" applyBorder="1" applyAlignment="1">
      <alignment horizontal="left"/>
    </xf>
    <xf numFmtId="0" fontId="8" fillId="2" borderId="18" xfId="2" applyFont="1" applyFill="1" applyBorder="1" applyAlignment="1">
      <alignment horizontal="center"/>
    </xf>
    <xf numFmtId="0" fontId="10" fillId="2" borderId="0" xfId="0" applyFont="1" applyFill="1"/>
    <xf numFmtId="15" fontId="10" fillId="2" borderId="0" xfId="0" applyNumberFormat="1" applyFont="1" applyFill="1"/>
    <xf numFmtId="0" fontId="10" fillId="2" borderId="0" xfId="0" quotePrefix="1" applyFont="1" applyFill="1"/>
    <xf numFmtId="0" fontId="10" fillId="2" borderId="0" xfId="2" applyFont="1" applyFill="1"/>
    <xf numFmtId="164" fontId="10" fillId="2" borderId="0" xfId="3" applyFont="1" applyFill="1"/>
    <xf numFmtId="0" fontId="5" fillId="2" borderId="0" xfId="2" applyFont="1" applyFill="1"/>
    <xf numFmtId="15" fontId="11" fillId="2" borderId="0" xfId="2" applyNumberFormat="1" applyFont="1" applyFill="1" applyAlignment="1">
      <alignment horizontal="center"/>
    </xf>
    <xf numFmtId="0" fontId="2" fillId="2" borderId="0" xfId="2" applyFill="1"/>
    <xf numFmtId="0" fontId="10" fillId="2" borderId="11" xfId="2" applyFont="1" applyFill="1" applyBorder="1"/>
    <xf numFmtId="164" fontId="10" fillId="2" borderId="11" xfId="3" applyFont="1" applyFill="1" applyBorder="1"/>
    <xf numFmtId="0" fontId="12" fillId="2" borderId="0" xfId="2" applyFont="1" applyFill="1"/>
    <xf numFmtId="165" fontId="12" fillId="2" borderId="0" xfId="2" applyNumberFormat="1" applyFont="1" applyFill="1"/>
    <xf numFmtId="164" fontId="10" fillId="2" borderId="19" xfId="3" applyFont="1" applyFill="1" applyBorder="1" applyAlignment="1">
      <alignment horizontal="center"/>
    </xf>
    <xf numFmtId="164" fontId="10" fillId="2" borderId="19" xfId="3" applyFont="1" applyFill="1" applyBorder="1"/>
    <xf numFmtId="15" fontId="13" fillId="2" borderId="0" xfId="2" applyNumberFormat="1" applyFont="1" applyFill="1"/>
    <xf numFmtId="0" fontId="13" fillId="2" borderId="0" xfId="2" quotePrefix="1" applyFont="1" applyFill="1"/>
    <xf numFmtId="164" fontId="12" fillId="2" borderId="0" xfId="3" applyFont="1" applyFill="1"/>
    <xf numFmtId="164" fontId="14" fillId="2" borderId="0" xfId="3" applyFont="1" applyFill="1"/>
    <xf numFmtId="164" fontId="13" fillId="2" borderId="0" xfId="3" applyFont="1" applyFill="1"/>
    <xf numFmtId="0" fontId="15" fillId="2" borderId="0" xfId="2" applyFont="1" applyFill="1"/>
    <xf numFmtId="0" fontId="14" fillId="2" borderId="0" xfId="2" applyFont="1" applyFill="1"/>
    <xf numFmtId="15" fontId="16" fillId="2" borderId="0" xfId="2" applyNumberFormat="1" applyFont="1" applyFill="1"/>
    <xf numFmtId="0" fontId="16" fillId="2" borderId="0" xfId="2" quotePrefix="1" applyFont="1" applyFill="1"/>
    <xf numFmtId="0" fontId="17" fillId="2" borderId="0" xfId="2" applyFont="1" applyFill="1"/>
    <xf numFmtId="164" fontId="0" fillId="2" borderId="0" xfId="3" applyFont="1" applyFill="1"/>
    <xf numFmtId="0" fontId="0" fillId="2" borderId="0" xfId="0" applyFill="1"/>
    <xf numFmtId="164" fontId="16" fillId="2" borderId="0" xfId="3" applyFont="1" applyFill="1"/>
    <xf numFmtId="44" fontId="0" fillId="2" borderId="0" xfId="1" applyFont="1" applyFill="1"/>
    <xf numFmtId="15" fontId="18" fillId="2" borderId="0" xfId="2" applyNumberFormat="1" applyFont="1" applyFill="1" applyAlignment="1">
      <alignment horizontal="center"/>
    </xf>
    <xf numFmtId="165" fontId="14" fillId="2" borderId="0" xfId="2" applyNumberFormat="1" applyFont="1" applyFill="1"/>
    <xf numFmtId="0" fontId="14" fillId="2" borderId="0" xfId="2" applyFont="1" applyFill="1" applyAlignment="1">
      <alignment horizontal="center"/>
    </xf>
    <xf numFmtId="0" fontId="19" fillId="0" borderId="0" xfId="0" applyFont="1"/>
  </cellXfs>
  <cellStyles count="4">
    <cellStyle name="Moneda" xfId="1" builtinId="4"/>
    <cellStyle name="Moneda 2" xfId="3" xr:uid="{C6771708-95F1-4B77-8A93-BDC057BEA1B0}"/>
    <cellStyle name="Normal" xfId="0" builtinId="0"/>
    <cellStyle name="Normal 2" xfId="2" xr:uid="{63184039-D83C-4914-937E-06E318A79D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5AD10-9924-4D3D-8FFA-0CCC2AB386B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D4758-55E3-472F-9030-BE2ECB9CC446}">
  <sheetPr>
    <tabColor rgb="FF92D050"/>
    <pageSetUpPr fitToPage="1"/>
  </sheetPr>
  <dimension ref="A1:R55"/>
  <sheetViews>
    <sheetView tabSelected="1" topLeftCell="A17" zoomScale="90" zoomScaleNormal="90" workbookViewId="0">
      <selection activeCell="B26" sqref="B26"/>
    </sheetView>
  </sheetViews>
  <sheetFormatPr baseColWidth="10" defaultRowHeight="14.4" x14ac:dyDescent="0.3"/>
  <cols>
    <col min="1" max="1" width="18" customWidth="1"/>
    <col min="2" max="2" width="35.21875" customWidth="1"/>
    <col min="3" max="3" width="22.6640625" customWidth="1"/>
    <col min="4" max="4" width="21.109375" customWidth="1"/>
    <col min="5" max="5" width="7.21875" customWidth="1"/>
    <col min="6" max="6" width="36.33203125" customWidth="1"/>
    <col min="7" max="7" width="22.6640625" customWidth="1"/>
    <col min="8" max="8" width="25.44140625" customWidth="1"/>
    <col min="9" max="9" width="13.6640625" customWidth="1"/>
    <col min="10" max="10" width="26.88671875" customWidth="1"/>
    <col min="11" max="11" width="26.21875" customWidth="1"/>
    <col min="12" max="13" width="22.88671875" bestFit="1" customWidth="1"/>
    <col min="14" max="14" width="26.5546875" customWidth="1"/>
    <col min="15" max="15" width="22.88671875" bestFit="1" customWidth="1"/>
    <col min="16" max="16" width="27.6640625" customWidth="1"/>
  </cols>
  <sheetData>
    <row r="1" spans="1:18" ht="21.6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3"/>
    </row>
    <row r="2" spans="1:18" ht="17.399999999999999" x14ac:dyDescent="0.3">
      <c r="A2" s="4" t="s">
        <v>0</v>
      </c>
      <c r="B2" s="5"/>
      <c r="C2" s="6"/>
      <c r="D2" s="4"/>
      <c r="E2" s="5"/>
      <c r="F2" s="6"/>
      <c r="G2" s="4"/>
      <c r="H2" s="5"/>
      <c r="I2" s="5"/>
      <c r="J2" s="5"/>
      <c r="K2" s="5"/>
      <c r="L2" s="5"/>
      <c r="M2" s="5"/>
      <c r="N2" s="5"/>
      <c r="O2" s="5"/>
      <c r="P2" s="6"/>
      <c r="Q2" s="7"/>
      <c r="R2" s="3"/>
    </row>
    <row r="3" spans="1:18" ht="17.399999999999999" x14ac:dyDescent="0.3">
      <c r="A3" s="8" t="s">
        <v>1</v>
      </c>
      <c r="B3" s="9"/>
      <c r="C3" s="10"/>
      <c r="D3" s="8"/>
      <c r="E3" s="9"/>
      <c r="F3" s="10"/>
      <c r="G3" s="8"/>
      <c r="H3" s="9"/>
      <c r="I3" s="9"/>
      <c r="J3" s="9"/>
      <c r="K3" s="9"/>
      <c r="L3" s="9"/>
      <c r="M3" s="9"/>
      <c r="N3" s="9"/>
      <c r="O3" s="9"/>
      <c r="P3" s="10"/>
      <c r="Q3" s="7"/>
      <c r="R3" s="3"/>
    </row>
    <row r="4" spans="1:18" ht="17.399999999999999" x14ac:dyDescent="0.3">
      <c r="A4" s="8"/>
      <c r="B4" s="9"/>
      <c r="C4" s="10"/>
      <c r="D4" s="8"/>
      <c r="E4" s="9"/>
      <c r="F4" s="10"/>
      <c r="G4" s="8"/>
      <c r="H4" s="9"/>
      <c r="I4" s="9"/>
      <c r="J4" s="9"/>
      <c r="K4" s="9"/>
      <c r="L4" s="9"/>
      <c r="M4" s="9"/>
      <c r="N4" s="9"/>
      <c r="O4" s="9"/>
      <c r="P4" s="10"/>
      <c r="Q4" s="7"/>
      <c r="R4" s="3"/>
    </row>
    <row r="5" spans="1:18" ht="17.399999999999999" x14ac:dyDescent="0.3">
      <c r="A5" s="11" t="s">
        <v>2</v>
      </c>
      <c r="B5" s="12"/>
      <c r="C5" s="13"/>
      <c r="D5" s="11" t="s">
        <v>3</v>
      </c>
      <c r="E5" s="14" t="s">
        <v>4</v>
      </c>
      <c r="F5" s="15"/>
      <c r="G5" s="11" t="s">
        <v>5</v>
      </c>
      <c r="H5" s="12"/>
      <c r="I5" s="12"/>
      <c r="J5" s="12"/>
      <c r="K5" s="12"/>
      <c r="L5" s="12"/>
      <c r="M5" s="12"/>
      <c r="N5" s="12"/>
      <c r="O5" s="12"/>
      <c r="P5" s="13"/>
      <c r="Q5" s="7"/>
      <c r="R5" s="3"/>
    </row>
    <row r="6" spans="1:18" ht="17.399999999999999" x14ac:dyDescent="0.3">
      <c r="A6" s="11" t="s">
        <v>6</v>
      </c>
      <c r="B6" s="12" t="s">
        <v>7</v>
      </c>
      <c r="C6" s="16">
        <v>30707232338</v>
      </c>
      <c r="D6" s="11" t="s">
        <v>8</v>
      </c>
      <c r="E6" s="12" t="s">
        <v>9</v>
      </c>
      <c r="F6" s="13"/>
      <c r="G6" s="11" t="s">
        <v>10</v>
      </c>
      <c r="H6" s="12"/>
      <c r="I6" s="12"/>
      <c r="J6" s="12"/>
      <c r="K6" s="12"/>
      <c r="L6" s="12"/>
      <c r="M6" s="12"/>
      <c r="N6" s="12"/>
      <c r="O6" s="12"/>
      <c r="P6" s="13"/>
      <c r="Q6" s="7"/>
      <c r="R6" s="3"/>
    </row>
    <row r="7" spans="1:18" ht="17.399999999999999" x14ac:dyDescent="0.3">
      <c r="A7" s="11" t="s">
        <v>11</v>
      </c>
      <c r="B7" s="12" t="s">
        <v>12</v>
      </c>
      <c r="C7" s="13"/>
      <c r="D7" s="11" t="s">
        <v>13</v>
      </c>
      <c r="E7" s="12" t="s">
        <v>14</v>
      </c>
      <c r="F7" s="13"/>
      <c r="G7" s="11" t="s">
        <v>15</v>
      </c>
      <c r="H7" s="12"/>
      <c r="I7" s="12"/>
      <c r="J7" s="12"/>
      <c r="K7" s="12"/>
      <c r="L7" s="12"/>
      <c r="M7" s="12"/>
      <c r="N7" s="12"/>
      <c r="O7" s="12"/>
      <c r="P7" s="13"/>
      <c r="Q7" s="7"/>
      <c r="R7" s="3"/>
    </row>
    <row r="8" spans="1:18" ht="17.399999999999999" x14ac:dyDescent="0.3">
      <c r="A8" s="11" t="s">
        <v>16</v>
      </c>
      <c r="B8" s="12" t="s">
        <v>17</v>
      </c>
      <c r="C8" s="13"/>
      <c r="D8" s="11" t="s">
        <v>18</v>
      </c>
      <c r="E8" s="12" t="s">
        <v>19</v>
      </c>
      <c r="F8" s="13"/>
      <c r="G8" s="11" t="s">
        <v>20</v>
      </c>
      <c r="H8" s="12"/>
      <c r="I8" s="12"/>
      <c r="J8" s="12"/>
      <c r="K8" s="12"/>
      <c r="L8" s="12"/>
      <c r="M8" s="12"/>
      <c r="N8" s="12"/>
      <c r="O8" s="12"/>
      <c r="P8" s="13"/>
      <c r="Q8" s="7"/>
      <c r="R8" s="3"/>
    </row>
    <row r="9" spans="1:18" ht="17.399999999999999" x14ac:dyDescent="0.3">
      <c r="A9" s="11"/>
      <c r="B9" s="12"/>
      <c r="C9" s="13"/>
      <c r="D9" s="11" t="s">
        <v>21</v>
      </c>
      <c r="E9" s="12" t="s">
        <v>22</v>
      </c>
      <c r="F9" s="13"/>
      <c r="G9" s="11" t="s">
        <v>23</v>
      </c>
      <c r="H9" s="12"/>
      <c r="I9" s="12"/>
      <c r="J9" s="12"/>
      <c r="K9" s="12"/>
      <c r="L9" s="12"/>
      <c r="M9" s="12"/>
      <c r="N9" s="12"/>
      <c r="O9" s="12"/>
      <c r="P9" s="13"/>
      <c r="Q9" s="7"/>
      <c r="R9" s="3"/>
    </row>
    <row r="10" spans="1:18" ht="17.399999999999999" x14ac:dyDescent="0.3">
      <c r="A10" s="11"/>
      <c r="B10" s="12"/>
      <c r="C10" s="13"/>
      <c r="D10" s="11" t="s">
        <v>24</v>
      </c>
      <c r="E10" s="12" t="s">
        <v>25</v>
      </c>
      <c r="F10" s="13"/>
      <c r="G10" s="11" t="s">
        <v>26</v>
      </c>
      <c r="H10" s="12"/>
      <c r="I10" s="12"/>
      <c r="J10" s="12"/>
      <c r="K10" s="12"/>
      <c r="L10" s="12"/>
      <c r="M10" s="12"/>
      <c r="N10" s="12"/>
      <c r="O10" s="12"/>
      <c r="P10" s="13"/>
      <c r="Q10" s="7"/>
      <c r="R10" s="3"/>
    </row>
    <row r="11" spans="1:18" ht="17.399999999999999" x14ac:dyDescent="0.3">
      <c r="A11" s="11"/>
      <c r="B11" s="12"/>
      <c r="C11" s="13"/>
      <c r="D11" s="11" t="s">
        <v>27</v>
      </c>
      <c r="E11" s="17" t="s">
        <v>28</v>
      </c>
      <c r="F11" s="18"/>
      <c r="G11" s="11"/>
      <c r="H11" s="12"/>
      <c r="I11" s="12"/>
      <c r="J11" s="12"/>
      <c r="K11" s="12"/>
      <c r="L11" s="12"/>
      <c r="M11" s="12"/>
      <c r="N11" s="12"/>
      <c r="O11" s="12"/>
      <c r="P11" s="13"/>
      <c r="Q11" s="7"/>
      <c r="R11" s="3"/>
    </row>
    <row r="12" spans="1:18" ht="18" thickBot="1" x14ac:dyDescent="0.35">
      <c r="A12" s="19"/>
      <c r="B12" s="20"/>
      <c r="C12" s="21"/>
      <c r="D12" s="19"/>
      <c r="E12" s="20"/>
      <c r="F12" s="21"/>
      <c r="G12" s="19"/>
      <c r="H12" s="20"/>
      <c r="I12" s="20"/>
      <c r="J12" s="20"/>
      <c r="K12" s="20"/>
      <c r="L12" s="20"/>
      <c r="M12" s="20"/>
      <c r="N12" s="20"/>
      <c r="O12" s="20"/>
      <c r="P12" s="21"/>
      <c r="Q12" s="2"/>
      <c r="R12" s="3"/>
    </row>
    <row r="13" spans="1:18" ht="21.6" thickBo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22"/>
      <c r="Q13" s="23"/>
      <c r="R13" s="3"/>
    </row>
    <row r="14" spans="1:18" ht="21.6" thickBot="1" x14ac:dyDescent="0.4">
      <c r="A14" s="1"/>
      <c r="B14" s="1"/>
      <c r="C14" s="1"/>
      <c r="D14" s="1"/>
      <c r="E14" s="1"/>
      <c r="F14" s="1"/>
      <c r="G14" s="24" t="s">
        <v>29</v>
      </c>
      <c r="H14" s="25"/>
      <c r="I14" s="25"/>
      <c r="J14" s="25"/>
      <c r="K14" s="26"/>
      <c r="L14" s="25" t="s">
        <v>30</v>
      </c>
      <c r="M14" s="25"/>
      <c r="N14" s="25"/>
      <c r="O14" s="27"/>
      <c r="P14" s="26"/>
      <c r="Q14" s="23"/>
      <c r="R14" s="3"/>
    </row>
    <row r="15" spans="1:18" ht="17.399999999999999" x14ac:dyDescent="0.3">
      <c r="A15" s="28" t="s">
        <v>31</v>
      </c>
      <c r="B15" s="28"/>
      <c r="C15" s="29"/>
      <c r="D15" s="29"/>
      <c r="E15" s="28"/>
      <c r="F15" s="28" t="s">
        <v>32</v>
      </c>
      <c r="G15" s="28" t="s">
        <v>33</v>
      </c>
      <c r="H15" s="29" t="s">
        <v>34</v>
      </c>
      <c r="I15" s="29" t="s">
        <v>35</v>
      </c>
      <c r="J15" s="29" t="s">
        <v>36</v>
      </c>
      <c r="K15" s="30" t="s">
        <v>37</v>
      </c>
      <c r="L15" s="28"/>
      <c r="M15" s="28"/>
      <c r="N15" s="28"/>
      <c r="O15" s="28"/>
      <c r="P15" s="31" t="s">
        <v>37</v>
      </c>
      <c r="Q15" s="32"/>
      <c r="R15" s="3"/>
    </row>
    <row r="16" spans="1:18" ht="18" thickBot="1" x14ac:dyDescent="0.35">
      <c r="A16" s="33" t="s">
        <v>38</v>
      </c>
      <c r="B16" s="33" t="s">
        <v>39</v>
      </c>
      <c r="C16" s="33" t="s">
        <v>40</v>
      </c>
      <c r="D16" s="33" t="s">
        <v>41</v>
      </c>
      <c r="E16" s="33" t="s">
        <v>42</v>
      </c>
      <c r="F16" s="33" t="s">
        <v>43</v>
      </c>
      <c r="G16" s="34">
        <v>0.3</v>
      </c>
      <c r="H16" s="34" t="s">
        <v>44</v>
      </c>
      <c r="I16" s="34">
        <v>1.5</v>
      </c>
      <c r="J16" s="35" t="s">
        <v>45</v>
      </c>
      <c r="K16" s="33" t="s">
        <v>46</v>
      </c>
      <c r="L16" s="33" t="s">
        <v>47</v>
      </c>
      <c r="M16" s="33" t="s">
        <v>48</v>
      </c>
      <c r="N16" s="33" t="s">
        <v>49</v>
      </c>
      <c r="O16" s="33" t="s">
        <v>50</v>
      </c>
      <c r="P16" s="36" t="s">
        <v>51</v>
      </c>
      <c r="Q16" s="32"/>
      <c r="R16" s="3"/>
    </row>
    <row r="17" spans="1:18" ht="23.4" x14ac:dyDescent="0.4">
      <c r="A17" s="37"/>
      <c r="B17" s="38"/>
      <c r="C17" s="39"/>
      <c r="D17" s="37"/>
      <c r="E17" s="40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32"/>
      <c r="R17" s="42"/>
    </row>
    <row r="18" spans="1:18" ht="23.4" x14ac:dyDescent="0.4">
      <c r="A18" s="37"/>
      <c r="B18" s="38"/>
      <c r="C18" s="39"/>
      <c r="D18" s="37"/>
      <c r="E18" s="40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32"/>
      <c r="R18" s="42"/>
    </row>
    <row r="19" spans="1:18" ht="23.4" x14ac:dyDescent="0.4">
      <c r="A19" s="37"/>
      <c r="B19" s="38"/>
      <c r="C19" s="39"/>
      <c r="D19" s="37"/>
      <c r="E19" s="40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32"/>
      <c r="R19" s="42"/>
    </row>
    <row r="20" spans="1:18" ht="24" x14ac:dyDescent="0.45">
      <c r="A20" s="37"/>
      <c r="B20" s="43">
        <v>46310</v>
      </c>
      <c r="C20" s="39"/>
      <c r="D20" s="37"/>
      <c r="E20" s="40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32"/>
      <c r="R20" s="42"/>
    </row>
    <row r="21" spans="1:18" ht="23.4" x14ac:dyDescent="0.4">
      <c r="A21" s="37" t="s">
        <v>52</v>
      </c>
      <c r="B21" s="37" t="s">
        <v>53</v>
      </c>
      <c r="C21" s="37">
        <v>20383207057</v>
      </c>
      <c r="D21" s="37" t="s">
        <v>54</v>
      </c>
      <c r="E21" s="40"/>
      <c r="F21" s="41">
        <v>211846.03</v>
      </c>
      <c r="G21" s="41">
        <f>F21*30%</f>
        <v>63553.808999999994</v>
      </c>
      <c r="H21" s="41">
        <v>52961.51</v>
      </c>
      <c r="I21" s="41">
        <v>0</v>
      </c>
      <c r="J21" s="41">
        <v>0</v>
      </c>
      <c r="K21" s="41">
        <f>SUM(F21:J21)</f>
        <v>328361.34899999999</v>
      </c>
      <c r="L21" s="41">
        <f>K21*3%</f>
        <v>9850.8404699999992</v>
      </c>
      <c r="M21" s="41">
        <f>K21*11%</f>
        <v>36119.748390000001</v>
      </c>
      <c r="N21" s="41">
        <f>K21*3/100</f>
        <v>9850.840470000001</v>
      </c>
      <c r="O21" s="41">
        <f>K21*3%</f>
        <v>9850.8404699999992</v>
      </c>
      <c r="P21" s="41">
        <f>SUM(K21-L21-M21-N21-O21)</f>
        <v>262689.07919999998</v>
      </c>
      <c r="Q21" s="32"/>
      <c r="R21" s="42"/>
    </row>
    <row r="22" spans="1:18" ht="23.4" x14ac:dyDescent="0.4">
      <c r="A22" s="37" t="s">
        <v>55</v>
      </c>
      <c r="B22" s="37" t="s">
        <v>53</v>
      </c>
      <c r="C22" s="37">
        <v>20383207057</v>
      </c>
      <c r="D22" s="37" t="s">
        <v>54</v>
      </c>
      <c r="E22" s="40"/>
      <c r="F22" s="41">
        <v>211846.03</v>
      </c>
      <c r="G22" s="41">
        <v>63553.81</v>
      </c>
      <c r="H22" s="41">
        <v>52961.51</v>
      </c>
      <c r="I22" s="41">
        <v>0</v>
      </c>
      <c r="J22" s="41">
        <v>0</v>
      </c>
      <c r="K22" s="41">
        <f>SUM(F22:J22)</f>
        <v>328361.34999999998</v>
      </c>
      <c r="L22" s="41">
        <f>K22*3%</f>
        <v>9850.8404999999984</v>
      </c>
      <c r="M22" s="41">
        <f>K22*11%</f>
        <v>36119.748499999994</v>
      </c>
      <c r="N22" s="41">
        <f>K22*3/100</f>
        <v>9850.8404999999984</v>
      </c>
      <c r="O22" s="41">
        <f>K22*3%</f>
        <v>9850.8404999999984</v>
      </c>
      <c r="P22" s="41">
        <f>SUM(K22-L22-M22-N22-O22)</f>
        <v>262689.08</v>
      </c>
      <c r="Q22" s="32"/>
      <c r="R22" s="42"/>
    </row>
    <row r="23" spans="1:18" ht="23.4" x14ac:dyDescent="0.4">
      <c r="A23" s="37" t="s">
        <v>56</v>
      </c>
      <c r="B23" s="37" t="s">
        <v>53</v>
      </c>
      <c r="C23" s="37">
        <v>20383207057</v>
      </c>
      <c r="D23" s="37" t="s">
        <v>54</v>
      </c>
      <c r="E23" s="40"/>
      <c r="F23" s="41">
        <v>423692.06</v>
      </c>
      <c r="G23" s="41">
        <v>63553.81</v>
      </c>
      <c r="H23" s="41">
        <v>52961.51</v>
      </c>
      <c r="I23" s="41">
        <v>0</v>
      </c>
      <c r="J23" s="41">
        <v>0</v>
      </c>
      <c r="K23" s="41">
        <f>SUM(F23:J23)</f>
        <v>540207.38</v>
      </c>
      <c r="L23" s="41">
        <f>K23*3%</f>
        <v>16206.2214</v>
      </c>
      <c r="M23" s="41">
        <f>K23*11%</f>
        <v>59422.811800000003</v>
      </c>
      <c r="N23" s="41">
        <f>K23*3/100</f>
        <v>16206.221400000002</v>
      </c>
      <c r="O23" s="41">
        <f>K23*3%</f>
        <v>16206.2214</v>
      </c>
      <c r="P23" s="41">
        <f>SUM(K23-L23-M23-N23-O23)</f>
        <v>432165.90400000004</v>
      </c>
      <c r="Q23" s="32"/>
      <c r="R23" s="42"/>
    </row>
    <row r="24" spans="1:18" ht="23.4" x14ac:dyDescent="0.4">
      <c r="A24" s="37"/>
      <c r="B24" s="37"/>
      <c r="C24" s="37"/>
      <c r="D24" s="37"/>
      <c r="E24" s="40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32"/>
      <c r="R24" s="42"/>
    </row>
    <row r="25" spans="1:18" ht="24" x14ac:dyDescent="0.45">
      <c r="A25" s="37"/>
      <c r="B25" s="43">
        <v>46311</v>
      </c>
      <c r="C25" s="39"/>
      <c r="D25" s="37"/>
      <c r="E25" s="40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32"/>
      <c r="R25" s="42"/>
    </row>
    <row r="26" spans="1:18" ht="23.4" x14ac:dyDescent="0.4">
      <c r="A26" s="37" t="s">
        <v>57</v>
      </c>
      <c r="B26" s="37" t="s">
        <v>53</v>
      </c>
      <c r="C26" s="37">
        <v>20383207057</v>
      </c>
      <c r="D26" s="37" t="s">
        <v>54</v>
      </c>
      <c r="E26" s="40"/>
      <c r="F26" s="41">
        <v>423692.06</v>
      </c>
      <c r="G26" s="41">
        <v>63553.81</v>
      </c>
      <c r="H26" s="41">
        <v>52961.51</v>
      </c>
      <c r="I26" s="41">
        <v>0</v>
      </c>
      <c r="J26" s="41">
        <v>0</v>
      </c>
      <c r="K26" s="41">
        <f>SUM(F26:J26)</f>
        <v>540207.38</v>
      </c>
      <c r="L26" s="41">
        <f>K26*3%</f>
        <v>16206.2214</v>
      </c>
      <c r="M26" s="41">
        <f>K26*11%</f>
        <v>59422.811800000003</v>
      </c>
      <c r="N26" s="41">
        <f>K26*3/100</f>
        <v>16206.221400000002</v>
      </c>
      <c r="O26" s="41">
        <f>K26*3%</f>
        <v>16206.2214</v>
      </c>
      <c r="P26" s="41">
        <f>SUM(K26-L26-M26-N26-O26)</f>
        <v>432165.90400000004</v>
      </c>
      <c r="Q26" s="32"/>
      <c r="R26" s="42"/>
    </row>
    <row r="27" spans="1:18" ht="23.4" x14ac:dyDescent="0.4">
      <c r="A27" s="37"/>
      <c r="B27" s="37"/>
      <c r="C27" s="37"/>
      <c r="D27" s="37"/>
      <c r="E27" s="40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32"/>
      <c r="R27" s="42"/>
    </row>
    <row r="28" spans="1:18" ht="23.4" x14ac:dyDescent="0.4">
      <c r="A28" s="37"/>
      <c r="B28" s="37"/>
      <c r="C28" s="37"/>
      <c r="D28" s="37"/>
      <c r="E28" s="40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32"/>
      <c r="R28" s="42"/>
    </row>
    <row r="29" spans="1:18" ht="23.4" x14ac:dyDescent="0.4">
      <c r="A29" s="37"/>
      <c r="B29" s="37"/>
      <c r="C29" s="37"/>
      <c r="D29" s="37"/>
      <c r="E29" s="40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32"/>
      <c r="R29" s="42"/>
    </row>
    <row r="30" spans="1:18" ht="24" thickBot="1" x14ac:dyDescent="0.45">
      <c r="A30" s="37"/>
      <c r="B30" s="38"/>
      <c r="C30" s="39"/>
      <c r="D30" s="37"/>
      <c r="E30" s="37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4"/>
      <c r="R30" s="44"/>
    </row>
    <row r="31" spans="1:18" ht="24" thickBot="1" x14ac:dyDescent="0.45">
      <c r="A31" s="40"/>
      <c r="B31" s="40"/>
      <c r="C31" s="40"/>
      <c r="D31" s="45" t="s">
        <v>58</v>
      </c>
      <c r="E31" s="45"/>
      <c r="F31" s="46">
        <f t="shared" ref="F31:P31" si="0">SUM(F17:F30)</f>
        <v>1271076.18</v>
      </c>
      <c r="G31" s="46">
        <f t="shared" si="0"/>
        <v>254215.239</v>
      </c>
      <c r="H31" s="46">
        <f t="shared" si="0"/>
        <v>211846.04</v>
      </c>
      <c r="I31" s="46">
        <f t="shared" si="0"/>
        <v>0</v>
      </c>
      <c r="J31" s="46">
        <f t="shared" si="0"/>
        <v>0</v>
      </c>
      <c r="K31" s="46">
        <f t="shared" si="0"/>
        <v>1737137.4589999998</v>
      </c>
      <c r="L31" s="46">
        <f t="shared" si="0"/>
        <v>52114.123769999998</v>
      </c>
      <c r="M31" s="46">
        <f t="shared" si="0"/>
        <v>191085.12049</v>
      </c>
      <c r="N31" s="46">
        <f t="shared" si="0"/>
        <v>52114.123770000006</v>
      </c>
      <c r="O31" s="46">
        <f t="shared" si="0"/>
        <v>52114.123769999998</v>
      </c>
      <c r="P31" s="46">
        <f t="shared" si="0"/>
        <v>1389709.9672000001</v>
      </c>
      <c r="Q31" s="44"/>
      <c r="R31" s="44"/>
    </row>
    <row r="32" spans="1:18" ht="23.4" x14ac:dyDescent="0.4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4"/>
      <c r="R32" s="44"/>
    </row>
    <row r="33" spans="1:18" ht="23.4" x14ac:dyDescent="0.4">
      <c r="A33" s="47"/>
      <c r="B33" s="47"/>
      <c r="C33" s="47"/>
      <c r="D33" s="47"/>
      <c r="E33" s="47"/>
      <c r="F33" s="47"/>
      <c r="G33" s="47"/>
      <c r="H33" s="48"/>
      <c r="I33" s="47"/>
      <c r="J33" s="47"/>
      <c r="K33" s="48"/>
      <c r="L33" s="47"/>
      <c r="M33" s="49" t="s">
        <v>59</v>
      </c>
      <c r="N33" s="49"/>
      <c r="O33" s="49"/>
      <c r="P33" s="50">
        <f>22933.49*2</f>
        <v>45866.98</v>
      </c>
      <c r="Q33" s="44"/>
      <c r="R33" s="44"/>
    </row>
    <row r="34" spans="1:18" ht="22.8" x14ac:dyDescent="0.4">
      <c r="A34" s="47"/>
      <c r="B34" s="51"/>
      <c r="C34" s="52"/>
      <c r="D34" s="47"/>
      <c r="E34" s="47"/>
      <c r="F34" s="53"/>
      <c r="G34" s="47"/>
      <c r="H34" s="54"/>
      <c r="I34" s="53"/>
      <c r="J34" s="55"/>
      <c r="K34" s="53"/>
      <c r="L34" s="53"/>
      <c r="M34" s="53"/>
      <c r="N34" s="53"/>
      <c r="O34" s="53"/>
      <c r="P34" s="53"/>
      <c r="Q34" s="56"/>
      <c r="R34" s="44"/>
    </row>
    <row r="35" spans="1:18" x14ac:dyDescent="0.3">
      <c r="A35" s="57"/>
      <c r="B35" s="58"/>
      <c r="C35" s="59"/>
      <c r="D35" s="60"/>
      <c r="E35" s="57"/>
      <c r="F35" s="61"/>
      <c r="G35" s="54"/>
      <c r="H35" s="62"/>
      <c r="I35" s="54"/>
      <c r="J35" s="63"/>
      <c r="K35" s="64"/>
      <c r="L35" s="54"/>
      <c r="M35" s="54"/>
      <c r="N35" s="54"/>
      <c r="O35" s="54"/>
      <c r="P35" s="54"/>
      <c r="Q35" s="56"/>
      <c r="R35" s="44"/>
    </row>
    <row r="36" spans="1:18" x14ac:dyDescent="0.3">
      <c r="A36" s="57"/>
      <c r="B36" s="65"/>
      <c r="C36" s="59"/>
      <c r="D36" s="60"/>
      <c r="E36" s="57"/>
      <c r="F36" s="54"/>
      <c r="G36" s="54"/>
      <c r="H36" s="44"/>
      <c r="I36" s="54"/>
      <c r="J36" s="63"/>
      <c r="K36" s="54"/>
      <c r="L36" s="54"/>
      <c r="M36" s="54"/>
      <c r="N36" s="54"/>
      <c r="O36" s="54"/>
      <c r="P36" s="54"/>
      <c r="Q36" s="56"/>
      <c r="R36" s="44"/>
    </row>
    <row r="37" spans="1:18" x14ac:dyDescent="0.3">
      <c r="A37" s="44"/>
      <c r="B37" s="44"/>
      <c r="C37" s="44"/>
      <c r="D37" s="44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44"/>
    </row>
    <row r="38" spans="1:18" x14ac:dyDescent="0.3">
      <c r="A38" s="44"/>
      <c r="B38" s="44"/>
      <c r="C38" s="44"/>
      <c r="D38" s="44"/>
      <c r="E38" s="57"/>
      <c r="F38" s="57"/>
      <c r="G38" s="57"/>
      <c r="H38" s="57"/>
      <c r="I38" s="57"/>
      <c r="J38" s="57"/>
      <c r="K38" s="66"/>
      <c r="L38" s="57"/>
      <c r="M38" s="57"/>
      <c r="N38" s="57"/>
      <c r="O38" s="57"/>
      <c r="P38" s="57"/>
      <c r="Q38" s="67"/>
      <c r="R38" s="44"/>
    </row>
    <row r="39" spans="1:18" x14ac:dyDescent="0.3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</row>
    <row r="40" spans="1:18" x14ac:dyDescent="0.3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</row>
    <row r="41" spans="1:18" x14ac:dyDescent="0.3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</row>
    <row r="46" spans="1:18" ht="25.8" x14ac:dyDescent="0.5">
      <c r="H46" s="68"/>
    </row>
    <row r="47" spans="1:18" ht="25.8" x14ac:dyDescent="0.5">
      <c r="H47" s="68"/>
    </row>
    <row r="48" spans="1:18" ht="25.8" x14ac:dyDescent="0.5">
      <c r="H48" s="68"/>
    </row>
    <row r="49" spans="8:8" ht="25.8" x14ac:dyDescent="0.5">
      <c r="H49" s="68"/>
    </row>
    <row r="50" spans="8:8" ht="25.8" x14ac:dyDescent="0.5">
      <c r="H50" s="68"/>
    </row>
    <row r="51" spans="8:8" ht="25.8" x14ac:dyDescent="0.5">
      <c r="H51" s="68"/>
    </row>
    <row r="52" spans="8:8" ht="25.8" x14ac:dyDescent="0.5">
      <c r="H52" s="68"/>
    </row>
    <row r="53" spans="8:8" ht="25.8" x14ac:dyDescent="0.5">
      <c r="H53" s="68"/>
    </row>
    <row r="54" spans="8:8" ht="25.8" x14ac:dyDescent="0.5">
      <c r="H54" s="68"/>
    </row>
    <row r="55" spans="8:8" ht="25.8" x14ac:dyDescent="0.5">
      <c r="H55" s="68"/>
    </row>
  </sheetData>
  <mergeCells count="4">
    <mergeCell ref="E5:F5"/>
    <mergeCell ref="G14:J14"/>
    <mergeCell ref="L14:O14"/>
    <mergeCell ref="M33:O33"/>
  </mergeCells>
  <pageMargins left="0.25" right="0.25" top="0.75" bottom="0.75" header="0.3" footer="0.3"/>
  <pageSetup paperSize="9" scale="3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CL YINGNA 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 Teysseyre</dc:creator>
  <cp:lastModifiedBy>Lia Teysseyre</cp:lastModifiedBy>
  <dcterms:created xsi:type="dcterms:W3CDTF">2026-10-20T14:39:50Z</dcterms:created>
  <dcterms:modified xsi:type="dcterms:W3CDTF">2026-10-20T14:40:48Z</dcterms:modified>
</cp:coreProperties>
</file>